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smbsolved-marketing\out\templates\"/>
    </mc:Choice>
  </mc:AlternateContent>
  <xr:revisionPtr revIDLastSave="0" documentId="13_ncr:1_{34181220-C944-4F26-B1E9-F2FDDDEA43E5}" xr6:coauthVersionLast="47" xr6:coauthVersionMax="47" xr10:uidLastSave="{00000000-0000-0000-0000-000000000000}"/>
  <bookViews>
    <workbookView xWindow="2655" yWindow="2835" windowWidth="34845" windowHeight="17775" tabRatio="500" activeTab="1" xr2:uid="{00000000-000D-0000-FFFF-FFFF00000000}"/>
  </bookViews>
  <sheets>
    <sheet name="Tables" sheetId="1" r:id="rId1"/>
    <sheet name="Register" sheetId="2" r:id="rId2"/>
    <sheet name="Readm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2" l="1"/>
  <c r="C24" i="2"/>
  <c r="J11" i="2"/>
  <c r="D11" i="2"/>
  <c r="AA10" i="2"/>
  <c r="N10" i="2" s="1"/>
  <c r="Y10" i="2"/>
  <c r="X10" i="2"/>
  <c r="V10" i="2"/>
  <c r="U10" i="2"/>
  <c r="M10" i="2"/>
  <c r="L10" i="2"/>
  <c r="O10" i="2" s="1"/>
  <c r="K10" i="2"/>
  <c r="AA9" i="2"/>
  <c r="N9" i="2" s="1"/>
  <c r="Z9" i="2"/>
  <c r="Y9" i="2"/>
  <c r="T9" i="2" s="1"/>
  <c r="X9" i="2"/>
  <c r="V9" i="2"/>
  <c r="W9" i="2" s="1"/>
  <c r="U9" i="2"/>
  <c r="M9" i="2"/>
  <c r="K9" i="2"/>
  <c r="L9" i="2" s="1"/>
  <c r="O9" i="2" s="1"/>
  <c r="AA8" i="2"/>
  <c r="N8" i="2" s="1"/>
  <c r="Z8" i="2"/>
  <c r="Y8" i="2"/>
  <c r="T8" i="2" s="1"/>
  <c r="X8" i="2"/>
  <c r="U8" i="2"/>
  <c r="V8" i="2" s="1"/>
  <c r="W8" i="2" s="1"/>
  <c r="M8" i="2"/>
  <c r="K8" i="2"/>
  <c r="L8" i="2" s="1"/>
  <c r="O8" i="2" s="1"/>
  <c r="AA7" i="2"/>
  <c r="W7" i="2" s="1"/>
  <c r="Z7" i="2"/>
  <c r="Y7" i="2"/>
  <c r="T7" i="2" s="1"/>
  <c r="X7" i="2"/>
  <c r="V7" i="2"/>
  <c r="U7" i="2"/>
  <c r="M7" i="2"/>
  <c r="K7" i="2"/>
  <c r="L7" i="2" s="1"/>
  <c r="O7" i="2" s="1"/>
  <c r="AA6" i="2"/>
  <c r="Z6" i="2"/>
  <c r="Y6" i="2"/>
  <c r="T6" i="2" s="1"/>
  <c r="X6" i="2"/>
  <c r="U6" i="2"/>
  <c r="V6" i="2" s="1"/>
  <c r="M6" i="2"/>
  <c r="K6" i="2"/>
  <c r="L6" i="2" s="1"/>
  <c r="O6" i="2" s="1"/>
  <c r="AA5" i="2"/>
  <c r="Z5" i="2"/>
  <c r="Y5" i="2"/>
  <c r="T5" i="2" s="1"/>
  <c r="X5" i="2"/>
  <c r="B16" i="2" s="1"/>
  <c r="U5" i="2"/>
  <c r="V5" i="2" s="1"/>
  <c r="P5" i="2"/>
  <c r="M5" i="2"/>
  <c r="K5" i="2"/>
  <c r="L5" i="2" s="1"/>
  <c r="O5" i="2" s="1"/>
  <c r="W5" i="2" l="1"/>
  <c r="P10" i="2"/>
  <c r="T10" i="2" s="1"/>
  <c r="T11" i="2" s="1"/>
  <c r="O11" i="2"/>
  <c r="C16" i="2" s="1"/>
  <c r="W6" i="2"/>
  <c r="B15" i="2"/>
  <c r="W10" i="2"/>
  <c r="Z10" i="2"/>
  <c r="B22" i="2" s="1"/>
  <c r="B17" i="2"/>
  <c r="Q5" i="2"/>
  <c r="P6" i="2"/>
  <c r="P11" i="2" s="1"/>
  <c r="C17" i="2" s="1"/>
  <c r="R5" i="2"/>
  <c r="Q6" i="2"/>
  <c r="P7" i="2"/>
  <c r="R6" i="2"/>
  <c r="P8" i="2"/>
  <c r="Q10" i="2"/>
  <c r="N5" i="2"/>
  <c r="N7" i="2"/>
  <c r="Q7" i="2" s="1"/>
  <c r="R7" i="2"/>
  <c r="Q8" i="2"/>
  <c r="P9" i="2"/>
  <c r="R8" i="2"/>
  <c r="S8" i="2" s="1"/>
  <c r="Q9" i="2"/>
  <c r="R9" i="2"/>
  <c r="S9" i="2" s="1"/>
  <c r="R10" i="2"/>
  <c r="S10" i="2" s="1"/>
  <c r="N6" i="2"/>
  <c r="R11" i="2" l="1"/>
  <c r="S5" i="2"/>
  <c r="Q11" i="2"/>
  <c r="S7" i="2"/>
  <c r="B18" i="2"/>
  <c r="W11" i="2"/>
  <c r="N11" i="2"/>
  <c r="C15" i="2" s="1"/>
  <c r="C18" i="2" s="1"/>
  <c r="C19" i="2" s="1"/>
  <c r="S6" i="2"/>
  <c r="B20" i="2" l="1"/>
  <c r="B19" i="2"/>
  <c r="S11" i="2"/>
  <c r="B21" i="2" l="1"/>
</calcChain>
</file>

<file path=xl/sharedStrings.xml><?xml version="1.0" encoding="utf-8"?>
<sst xmlns="http://schemas.openxmlformats.org/spreadsheetml/2006/main" count="69" uniqueCount="67">
  <si>
    <t>MACRS GDS, half-year convention (200% DB; 15-year is 150% DB)</t>
  </si>
  <si>
    <t>Year</t>
  </si>
  <si>
    <t>FIXED ASSET REGISTER &amp; ROLL-FORWARD</t>
  </si>
  <si>
    <t>Report year</t>
  </si>
  <si>
    <t>Asset ID</t>
  </si>
  <si>
    <t>Description</t>
  </si>
  <si>
    <t>In service</t>
  </si>
  <si>
    <t>Cost</t>
  </si>
  <si>
    <t>Salvage</t>
  </si>
  <si>
    <t>Life (yrs)</t>
  </si>
  <si>
    <t>Tax class</t>
  </si>
  <si>
    <t>Bonus %</t>
  </si>
  <si>
    <t>Disposed</t>
  </si>
  <si>
    <t>Proceeds</t>
  </si>
  <si>
    <t>Mo. prior</t>
  </si>
  <si>
    <t>Mo. this yr</t>
  </si>
  <si>
    <t>Monthly dep</t>
  </si>
  <si>
    <t>Beg A/D</t>
  </si>
  <si>
    <t>Dep this yr</t>
  </si>
  <si>
    <t>A/D relieved</t>
  </si>
  <si>
    <t>End A/D</t>
  </si>
  <si>
    <t>End cost</t>
  </si>
  <si>
    <t>NBV</t>
  </si>
  <si>
    <t>Gain/(loss)</t>
  </si>
  <si>
    <t>Tax yr</t>
  </si>
  <si>
    <t>MACRS %</t>
  </si>
  <si>
    <t>Tax dep</t>
  </si>
  <si>
    <t>_add</t>
  </si>
  <si>
    <t>_disp</t>
  </si>
  <si>
    <t>Check</t>
  </si>
  <si>
    <t>_prior</t>
  </si>
  <si>
    <t>FA-0001</t>
  </si>
  <si>
    <t>Crown FC 5200 forklift</t>
  </si>
  <si>
    <t>FA-0002</t>
  </si>
  <si>
    <t>Office buildout, Suite 210</t>
  </si>
  <si>
    <t>FA-0003</t>
  </si>
  <si>
    <t>Dell Latitude laptops (x6)</t>
  </si>
  <si>
    <t>FA-0004</t>
  </si>
  <si>
    <t>Ford F-350 service truck</t>
  </si>
  <si>
    <t>FA-0005</t>
  </si>
  <si>
    <t>Haas VF-2 CNC mill</t>
  </si>
  <si>
    <t>FA-0006</t>
  </si>
  <si>
    <t>Dell PowerEdge server</t>
  </si>
  <si>
    <t>TOTALS</t>
  </si>
  <si>
    <t>ROLL-FORWARD</t>
  </si>
  <si>
    <t>Accum. dep.</t>
  </si>
  <si>
    <t>Beginning</t>
  </si>
  <si>
    <t>Additions / depreciation</t>
  </si>
  <si>
    <t>Disposals / A/D relieved</t>
  </si>
  <si>
    <t>Ending</t>
  </si>
  <si>
    <t>Ties to detail?</t>
  </si>
  <si>
    <t>Net book value</t>
  </si>
  <si>
    <t>Input check</t>
  </si>
  <si>
    <t>TIE TO GL</t>
  </si>
  <si>
    <t>GL fixed asset cost</t>
  </si>
  <si>
    <t>GL accumulated depreciation</t>
  </si>
  <si>
    <t>FIXED ASSET REGISTER &amp; ROLL-FORWARD, from smbsolved.com</t>
  </si>
  <si>
    <t>Yellow cells are inputs. Everything else calculates.</t>
  </si>
  <si>
    <t>Book depreciation is straight line, full-month convention: the month you place an asset in service counts, the month you dispose of it does not.</t>
  </si>
  <si>
    <t>Tax depreciation is MACRS GDS half-year (percentages on the Tables sheet). Bonus % applies in year one and reduces the MACRS basis. Section 179 is not modeled; ask your tax preparer.</t>
  </si>
  <si>
    <t>The Check column flags bad inputs row by row, and the Input check line under the roll-forward counts how many rows need attention. Both should read OK.</t>
  </si>
  <si>
    <t>The tie-out rows should read OK. If one shows a number, that number is exactly how far off you are.</t>
  </si>
  <si>
    <t>Assets disposed of in a year before the report year carry no cost and no accumulated depreciation, so the roll-forward still ties. The Check column will tell you to remove the row.</t>
  </si>
  <si>
    <t>Add rows: insert above the TOTALS row, then fill the formulas down from the row above. Extend the SUM and SUMPRODUCT ranges in the totals and roll-forward to cover the new rows.</t>
  </si>
  <si>
    <t>Tax classes supported: 3, 5, 7, 10 and 15 year. Real property (20, 27.5 and 39 year) uses a mid-month convention and is not modeled.</t>
  </si>
  <si>
    <t>Columns X, Y and AA are hidden helper flags. Leave them alone.</t>
  </si>
  <si>
    <t>No macros. Works in Excel 2016 and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</si>
</sst>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ptos Narrow"/>
      <family val="2"/>
      <charset val="1"/>
    </font>
    <font>
      <b/>
      <sz val="14"/>
      <color theme="1"/>
      <name val="Aptos Narrow"/>
      <family val="2"/>
      <charset val="1"/>
    </font>
    <font>
      <sz val="10"/>
      <color rgb="FF5A5A5A"/>
      <name val="Aptos Narrow"/>
      <family val="2"/>
      <charset val="1"/>
    </font>
    <font>
      <b/>
      <sz val="10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5" tint="0.79998168889431442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14" fontId="0" fillId="2" borderId="0" xfId="0" applyNumberFormat="1" applyFill="1"/>
    <xf numFmtId="4" fontId="0" fillId="2" borderId="0" xfId="0" applyNumberFormat="1" applyFill="1"/>
    <xf numFmtId="9" fontId="0" fillId="2" borderId="0" xfId="0" applyNumberFormat="1" applyFill="1"/>
    <xf numFmtId="4" fontId="0" fillId="0" borderId="0" xfId="0" applyNumberFormat="1"/>
    <xf numFmtId="4" fontId="3" fillId="0" borderId="0" xfId="0" applyNumberFormat="1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22">
    <dxf>
      <fill>
        <patternFill patternType="solid">
          <fgColor rgb="FFFFFFCC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  <alignment horizontal="center" vertical="center" textRotation="0" wrapText="0" indent="0" justifyLastLine="0" shrinkToFit="0" readingOrder="0"/>
    </dxf>
    <dxf>
      <numFmt numFmtId="4" formatCode="#,##0.00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  <fill>
        <patternFill patternType="solid">
          <fgColor rgb="FFFFFFCC"/>
          <bgColor rgb="FFFFFF99"/>
        </patternFill>
      </fill>
    </dxf>
    <dxf>
      <numFmt numFmtId="19" formatCode="m/d/yyyy"/>
      <fill>
        <patternFill patternType="solid">
          <fgColor rgb="FFFFFFCC"/>
          <bgColor rgb="FFFFFF99"/>
        </patternFill>
      </fill>
    </dxf>
    <dxf>
      <numFmt numFmtId="13" formatCode="0%"/>
      <fill>
        <patternFill patternType="solid">
          <fgColor rgb="FFFFFFCC"/>
          <bgColor rgb="FFFFFF99"/>
        </patternFill>
      </fill>
    </dxf>
    <dxf>
      <fill>
        <patternFill patternType="solid">
          <fgColor rgb="FFFFFFCC"/>
          <bgColor rgb="FFFFFF99"/>
        </patternFill>
      </fill>
    </dxf>
    <dxf>
      <fill>
        <patternFill patternType="solid">
          <fgColor rgb="FFFFFFCC"/>
          <bgColor rgb="FFFFFF99"/>
        </patternFill>
      </fill>
    </dxf>
    <dxf>
      <numFmt numFmtId="4" formatCode="#,##0.00"/>
      <fill>
        <patternFill patternType="solid">
          <fgColor rgb="FFFFFFCC"/>
          <bgColor rgb="FFFFFF99"/>
        </patternFill>
      </fill>
    </dxf>
    <dxf>
      <numFmt numFmtId="4" formatCode="#,##0.00"/>
      <fill>
        <patternFill patternType="solid">
          <fgColor rgb="FFFFFFCC"/>
          <bgColor rgb="FFFFFF99"/>
        </patternFill>
      </fill>
    </dxf>
    <dxf>
      <numFmt numFmtId="19" formatCode="m/d/yyyy"/>
      <fill>
        <patternFill patternType="solid">
          <fgColor rgb="FFFFFFCC"/>
          <bgColor rgb="FFFFFF99"/>
        </patternFill>
      </fill>
    </dxf>
    <dxf>
      <fill>
        <patternFill patternType="solid">
          <fgColor rgb="FFFFFFCC"/>
          <bgColor rgb="FFFFFF99"/>
        </patternFill>
      </fill>
    </dxf>
    <dxf>
      <fill>
        <patternFill patternType="solid">
          <fgColor rgb="FFFFFFCC"/>
          <bgColor rgb="FFFFFF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C5D2E-EB63-4F09-AD2E-1FA5E95DA8BA}" name="Table1" displayName="Table1" ref="A4:Z10" totalsRowShown="0" headerRowDxfId="1">
  <autoFilter ref="A4:Z10" xr:uid="{B14C5D2E-EB63-4F09-AD2E-1FA5E95DA8BA}"/>
  <tableColumns count="26">
    <tableColumn id="1" xr3:uid="{CBF54419-F41E-48DE-B9BB-B6031C1C6D33}" name="Asset ID" dataDxfId="21"/>
    <tableColumn id="2" xr3:uid="{3DAB9C72-A257-43F3-84B3-C329822A363D}" name="Description" dataDxfId="20"/>
    <tableColumn id="3" xr3:uid="{1149EF4C-BE9F-47E5-9742-1015D944387C}" name="In service" dataDxfId="19"/>
    <tableColumn id="4" xr3:uid="{900A4B1D-4C17-4888-96BC-DBF8F88C4484}" name="Cost" dataDxfId="18"/>
    <tableColumn id="5" xr3:uid="{38DCB2E2-46D1-44D9-98C3-34F1A6E2A2A0}" name="Salvage" dataDxfId="17"/>
    <tableColumn id="6" xr3:uid="{5209CEFD-123D-4913-AC7D-CB5C3ED2AE7A}" name="Life (yrs)" dataDxfId="16"/>
    <tableColumn id="7" xr3:uid="{A8E1B157-E04E-4CD4-A3E8-21B82EA76DBA}" name="Tax class" dataDxfId="15"/>
    <tableColumn id="8" xr3:uid="{8892CD50-1877-4DEA-A50C-A86E1EF2D2B5}" name="Bonus %" dataDxfId="14"/>
    <tableColumn id="9" xr3:uid="{FEDCCE52-DF00-4A14-82D9-0288B7479BB4}" name="Disposed" dataDxfId="13"/>
    <tableColumn id="10" xr3:uid="{AD73CCA0-FDA1-49DE-887D-A17A5301FDC3}" name="Proceeds" dataDxfId="12"/>
    <tableColumn id="11" xr3:uid="{D6DF66AD-D40D-4D29-8447-21727AA0D8B2}" name="Mo. prior">
      <calculatedColumnFormula>IF($C5="","",MAX(0,MIN($F5*12,($B$3-1-YEAR($C5))*12+13-MONTH($C5))))</calculatedColumnFormula>
    </tableColumn>
    <tableColumn id="12" xr3:uid="{7ADC367C-21E9-41B3-BDA1-73A742028056}" name="Mo. this yr">
      <calculatedColumnFormula>IF($C5="","",IF(YEAR($C5)&gt;$B$3,0,IF(AND($I5&lt;&gt;"",YEAR($I5)&lt;$B$3),0,MAX(0,MIN(IF(AND($I5&lt;&gt;"",YEAR($I5)=$B$3),MONTH($I5)-1,12)-IF(YEAR($C5)=$B$3,MONTH($C5),1)+1,$F5*12-K5)))))</calculatedColumnFormula>
    </tableColumn>
    <tableColumn id="13" xr3:uid="{BE403D8F-C98B-4DA8-9628-301FAE257EA9}" name="Monthly dep" dataDxfId="11">
      <calculatedColumnFormula>IF($C5="","",IF($F5&gt;0,MAX(0,$D5-$E5)/($F5*12),0))</calculatedColumnFormula>
    </tableColumn>
    <tableColumn id="14" xr3:uid="{4CCF4246-837D-4F75-80D2-DA4FC600D166}" name="Beg A/D" dataDxfId="10">
      <calculatedColumnFormula>IF($C5="","",IF($AA5=1,0,K5*M5))</calculatedColumnFormula>
    </tableColumn>
    <tableColumn id="15" xr3:uid="{BADDA35B-F607-4B4D-BB62-BA436E45B912}" name="Dep this yr" dataDxfId="9">
      <calculatedColumnFormula>IF($C5="","",L5*M5)</calculatedColumnFormula>
    </tableColumn>
    <tableColumn id="16" xr3:uid="{123857C0-9B04-46E2-A418-4BE7006ECD81}" name="A/D relieved" dataDxfId="8">
      <calculatedColumnFormula>IF($C5="",0,IF(Y5=1,N5+O5,0))</calculatedColumnFormula>
    </tableColumn>
    <tableColumn id="17" xr3:uid="{8304A90D-F555-499C-822E-04611BD28634}" name="End A/D" dataDxfId="7">
      <calculatedColumnFormula>IF($C5="","",IF(OR(Y5=1,$AA5=1),0,N5+O5))</calculatedColumnFormula>
    </tableColumn>
    <tableColumn id="18" xr3:uid="{8B576254-2490-4600-B259-97AF59E98114}" name="End cost" dataDxfId="6">
      <calculatedColumnFormula>IF($C5="","",IF(OR(Y5=1,AND($I5&lt;&gt;"",YEAR($I5)&lt;$B$3)),0,$D5))</calculatedColumnFormula>
    </tableColumn>
    <tableColumn id="19" xr3:uid="{287B67CB-FEB0-435B-B3F7-698CDBF6D95D}" name="NBV" dataDxfId="5">
      <calculatedColumnFormula>IF($C5="","",R5-Q5)</calculatedColumnFormula>
    </tableColumn>
    <tableColumn id="20" xr3:uid="{4396BFAB-CF90-4CB7-8E34-74F4AB7C10EB}" name="Gain/(loss)" dataDxfId="4">
      <calculatedColumnFormula>IF(Y5=1,$J5-($D5-P5),"")</calculatedColumnFormula>
    </tableColumn>
    <tableColumn id="21" xr3:uid="{2CEA2750-8FA0-4360-92D0-128C28E5573E}" name="Tax yr">
      <calculatedColumnFormula>IF($C5="","",$B$3-YEAR($C5)+1)</calculatedColumnFormula>
    </tableColumn>
    <tableColumn id="22" xr3:uid="{590E8150-E959-4632-B460-9398286E3038}" name="MACRS %" dataDxfId="3">
      <calculatedColumnFormula>IF($C5="","",IF(U5&lt;1,0,IFERROR(INDEX(Tables!$B$3:$F$18,U5,MATCH($G5,Tables!$B$2:$F$2,0)),0)))</calculatedColumnFormula>
    </tableColumn>
    <tableColumn id="23" xr3:uid="{8594DEDF-0340-4608-B861-E89FA7CFA0E5}" name="Tax dep" dataDxfId="2">
      <calculatedColumnFormula>IF($C5="","",IF(OR($AA5=1,YEAR($C5)&gt;$B$3),0,($D5*(1-$H5))*V5*IF(Y5=1,0.5,1)+IF(U5=1,$D5*$H5,0)))</calculatedColumnFormula>
    </tableColumn>
    <tableColumn id="24" xr3:uid="{D93EDCB3-E185-48B5-9749-9AC9D4198532}" name="_add">
      <calculatedColumnFormula>IF($C5="",0,IF(YEAR($C5)=$B$3,1,0))</calculatedColumnFormula>
    </tableColumn>
    <tableColumn id="25" xr3:uid="{75205E7A-07DE-4C28-8F53-708F58A2F956}" name="_disp">
      <calculatedColumnFormula>IF($C5="",0,IF(AND($I5&lt;&gt;"",YEAR($I5)=$B$3),1,0))</calculatedColumnFormula>
    </tableColumn>
    <tableColumn id="26" xr3:uid="{12ECB5F9-C916-4EDD-BF89-543CCDB4A272}" name="Check" dataDxfId="0">
      <calculatedColumnFormula>IF($C5="","",IF($F5&lt;=0,"Life must be greater than 0",IF($D5&lt;0,"Cost cannot be negative",IF($E5&gt;$D5,"Salvage exceeds cost",IF(YEAR($C5)&gt;$B$3,"In-service date is after the report year",IF(AND($I5&lt;&gt;"",$I5&lt;$C5),"Disposal date is before in-service date",IF(ISNA(MATCH($G5,Tables!$B$2:$F$2,0)),"Tax class must be 3, 5, 7, 10 or 15",IF($AA5=1,"Disposed in a prior year - remove this row","OK"))))))))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zoomScaleNormal="100" workbookViewId="0"/>
  </sheetViews>
  <sheetFormatPr defaultColWidth="8.5703125" defaultRowHeight="13.5" x14ac:dyDescent="0.25"/>
  <sheetData>
    <row r="1" spans="1:6" ht="13.5" customHeight="1" x14ac:dyDescent="0.25">
      <c r="A1" t="s">
        <v>0</v>
      </c>
    </row>
    <row r="2" spans="1:6" ht="13.5" customHeight="1" x14ac:dyDescent="0.25">
      <c r="A2" t="s">
        <v>1</v>
      </c>
      <c r="B2">
        <v>3</v>
      </c>
      <c r="C2">
        <v>5</v>
      </c>
      <c r="D2">
        <v>7</v>
      </c>
      <c r="E2">
        <v>10</v>
      </c>
      <c r="F2">
        <v>15</v>
      </c>
    </row>
    <row r="3" spans="1:6" ht="13.5" customHeight="1" x14ac:dyDescent="0.25">
      <c r="A3">
        <v>1</v>
      </c>
      <c r="B3" s="1">
        <v>0.33329999999999999</v>
      </c>
      <c r="C3" s="1">
        <v>0.2</v>
      </c>
      <c r="D3" s="1">
        <v>0.1429</v>
      </c>
      <c r="E3" s="1">
        <v>0.1</v>
      </c>
      <c r="F3" s="1">
        <v>0.05</v>
      </c>
    </row>
    <row r="4" spans="1:6" ht="13.5" customHeight="1" x14ac:dyDescent="0.25">
      <c r="A4">
        <v>2</v>
      </c>
      <c r="B4" s="1">
        <v>0.44450000000000001</v>
      </c>
      <c r="C4" s="1">
        <v>0.32</v>
      </c>
      <c r="D4" s="1">
        <v>0.24490000000000001</v>
      </c>
      <c r="E4" s="1">
        <v>0.18</v>
      </c>
      <c r="F4" s="1">
        <v>9.5000000000000001E-2</v>
      </c>
    </row>
    <row r="5" spans="1:6" ht="13.5" customHeight="1" x14ac:dyDescent="0.25">
      <c r="A5">
        <v>3</v>
      </c>
      <c r="B5" s="1">
        <v>0.14810000000000001</v>
      </c>
      <c r="C5" s="1">
        <v>0.192</v>
      </c>
      <c r="D5" s="1">
        <v>0.1749</v>
      </c>
      <c r="E5" s="1">
        <v>0.14399999999999999</v>
      </c>
      <c r="F5" s="1">
        <v>8.5500000000000007E-2</v>
      </c>
    </row>
    <row r="6" spans="1:6" ht="13.5" customHeight="1" x14ac:dyDescent="0.25">
      <c r="A6">
        <v>4</v>
      </c>
      <c r="B6" s="1">
        <v>7.4099999999999999E-2</v>
      </c>
      <c r="C6" s="1">
        <v>0.1152</v>
      </c>
      <c r="D6" s="1">
        <v>0.1249</v>
      </c>
      <c r="E6" s="1">
        <v>0.1152</v>
      </c>
      <c r="F6" s="1">
        <v>7.6999999999999999E-2</v>
      </c>
    </row>
    <row r="7" spans="1:6" ht="13.5" customHeight="1" x14ac:dyDescent="0.25">
      <c r="A7">
        <v>5</v>
      </c>
      <c r="B7" s="1"/>
      <c r="C7" s="1">
        <v>0.1152</v>
      </c>
      <c r="D7" s="1">
        <v>8.9300000000000004E-2</v>
      </c>
      <c r="E7" s="1">
        <v>9.2200000000000004E-2</v>
      </c>
      <c r="F7" s="1">
        <v>6.93E-2</v>
      </c>
    </row>
    <row r="8" spans="1:6" ht="13.5" customHeight="1" x14ac:dyDescent="0.25">
      <c r="A8">
        <v>6</v>
      </c>
      <c r="B8" s="1"/>
      <c r="C8" s="1">
        <v>5.7599999999999998E-2</v>
      </c>
      <c r="D8" s="1">
        <v>8.9200000000000002E-2</v>
      </c>
      <c r="E8" s="1">
        <v>7.3700000000000002E-2</v>
      </c>
      <c r="F8" s="1">
        <v>6.2300000000000001E-2</v>
      </c>
    </row>
    <row r="9" spans="1:6" ht="13.5" customHeight="1" x14ac:dyDescent="0.25">
      <c r="A9">
        <v>7</v>
      </c>
      <c r="B9" s="1"/>
      <c r="C9" s="1"/>
      <c r="D9" s="1">
        <v>8.9300000000000004E-2</v>
      </c>
      <c r="E9" s="1">
        <v>6.5500000000000003E-2</v>
      </c>
      <c r="F9" s="1">
        <v>5.8999999999999997E-2</v>
      </c>
    </row>
    <row r="10" spans="1:6" ht="13.5" customHeight="1" x14ac:dyDescent="0.25">
      <c r="A10">
        <v>8</v>
      </c>
      <c r="B10" s="1"/>
      <c r="C10" s="1"/>
      <c r="D10" s="1">
        <v>4.4600000000000001E-2</v>
      </c>
      <c r="E10" s="1">
        <v>6.5500000000000003E-2</v>
      </c>
      <c r="F10" s="1">
        <v>5.8999999999999997E-2</v>
      </c>
    </row>
    <row r="11" spans="1:6" ht="13.5" customHeight="1" x14ac:dyDescent="0.25">
      <c r="A11">
        <v>9</v>
      </c>
      <c r="B11" s="1"/>
      <c r="C11" s="1"/>
      <c r="D11" s="1"/>
      <c r="E11" s="1">
        <v>6.5600000000000006E-2</v>
      </c>
      <c r="F11" s="1">
        <v>5.91E-2</v>
      </c>
    </row>
    <row r="12" spans="1:6" ht="13.5" customHeight="1" x14ac:dyDescent="0.25">
      <c r="A12">
        <v>10</v>
      </c>
      <c r="B12" s="1"/>
      <c r="C12" s="1"/>
      <c r="D12" s="1"/>
      <c r="E12" s="1">
        <v>6.5500000000000003E-2</v>
      </c>
      <c r="F12" s="1">
        <v>5.8999999999999997E-2</v>
      </c>
    </row>
    <row r="13" spans="1:6" ht="13.5" customHeight="1" x14ac:dyDescent="0.25">
      <c r="A13">
        <v>11</v>
      </c>
      <c r="B13" s="1"/>
      <c r="C13" s="1"/>
      <c r="D13" s="1"/>
      <c r="E13" s="1">
        <v>3.2800000000000003E-2</v>
      </c>
      <c r="F13" s="1">
        <v>5.91E-2</v>
      </c>
    </row>
    <row r="14" spans="1:6" ht="13.5" customHeight="1" x14ac:dyDescent="0.25">
      <c r="A14">
        <v>12</v>
      </c>
      <c r="B14" s="1"/>
      <c r="C14" s="1"/>
      <c r="D14" s="1"/>
      <c r="E14" s="1"/>
      <c r="F14" s="1">
        <v>5.8999999999999997E-2</v>
      </c>
    </row>
    <row r="15" spans="1:6" ht="13.5" customHeight="1" x14ac:dyDescent="0.25">
      <c r="A15">
        <v>13</v>
      </c>
      <c r="B15" s="1"/>
      <c r="C15" s="1"/>
      <c r="D15" s="1"/>
      <c r="E15" s="1"/>
      <c r="F15" s="1">
        <v>5.91E-2</v>
      </c>
    </row>
    <row r="16" spans="1:6" ht="13.5" customHeight="1" x14ac:dyDescent="0.25">
      <c r="A16">
        <v>14</v>
      </c>
      <c r="B16" s="1"/>
      <c r="C16" s="1"/>
      <c r="D16" s="1"/>
      <c r="E16" s="1"/>
      <c r="F16" s="1">
        <v>5.8999999999999997E-2</v>
      </c>
    </row>
    <row r="17" spans="1:6" ht="13.5" customHeight="1" x14ac:dyDescent="0.25">
      <c r="A17">
        <v>15</v>
      </c>
      <c r="B17" s="1"/>
      <c r="C17" s="1"/>
      <c r="D17" s="1"/>
      <c r="E17" s="1"/>
      <c r="F17" s="1">
        <v>5.91E-2</v>
      </c>
    </row>
    <row r="18" spans="1:6" ht="13.5" customHeight="1" x14ac:dyDescent="0.25">
      <c r="A18">
        <v>16</v>
      </c>
      <c r="B18" s="1"/>
      <c r="C18" s="1"/>
      <c r="D18" s="1"/>
      <c r="E18" s="1"/>
      <c r="F18" s="1">
        <v>2.9499999999999998E-2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6" sqref="B6"/>
    </sheetView>
  </sheetViews>
  <sheetFormatPr defaultColWidth="8.5703125" defaultRowHeight="13.5" x14ac:dyDescent="0.25"/>
  <cols>
    <col min="1" max="1" width="27" customWidth="1"/>
    <col min="2" max="2" width="22" customWidth="1"/>
    <col min="3" max="12" width="12.7109375" customWidth="1"/>
    <col min="13" max="13" width="12.85546875" customWidth="1"/>
    <col min="14" max="23" width="12.7109375" customWidth="1"/>
    <col min="24" max="25" width="10.140625" hidden="1" customWidth="1"/>
    <col min="26" max="26" width="11.42578125" customWidth="1"/>
    <col min="27" max="27" width="13" hidden="1" customWidth="1"/>
  </cols>
  <sheetData>
    <row r="1" spans="1:27" ht="17.25" customHeight="1" x14ac:dyDescent="0.3">
      <c r="A1" s="2" t="s">
        <v>2</v>
      </c>
    </row>
    <row r="2" spans="1:27" ht="13.5" customHeight="1" x14ac:dyDescent="0.25">
      <c r="A2" s="3"/>
    </row>
    <row r="3" spans="1:27" ht="13.5" customHeight="1" x14ac:dyDescent="0.25">
      <c r="A3" t="s">
        <v>3</v>
      </c>
      <c r="B3" s="4">
        <v>2026</v>
      </c>
    </row>
    <row r="4" spans="1:27" s="12" customFormat="1" ht="36.75" customHeight="1" x14ac:dyDescent="0.25">
      <c r="A4" s="11" t="s">
        <v>4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1" t="s">
        <v>17</v>
      </c>
      <c r="O4" s="11" t="s">
        <v>18</v>
      </c>
      <c r="P4" s="11" t="s">
        <v>19</v>
      </c>
      <c r="Q4" s="11" t="s">
        <v>20</v>
      </c>
      <c r="R4" s="11" t="s">
        <v>21</v>
      </c>
      <c r="S4" s="11" t="s">
        <v>22</v>
      </c>
      <c r="T4" s="11" t="s">
        <v>23</v>
      </c>
      <c r="U4" s="11" t="s">
        <v>24</v>
      </c>
      <c r="V4" s="11" t="s">
        <v>25</v>
      </c>
      <c r="W4" s="11" t="s">
        <v>26</v>
      </c>
      <c r="X4" s="11" t="s">
        <v>27</v>
      </c>
      <c r="Y4" s="11" t="s">
        <v>28</v>
      </c>
      <c r="Z4" s="11" t="s">
        <v>29</v>
      </c>
      <c r="AA4" s="11" t="s">
        <v>30</v>
      </c>
    </row>
    <row r="5" spans="1:27" ht="13.5" customHeight="1" x14ac:dyDescent="0.25">
      <c r="A5" s="4" t="s">
        <v>31</v>
      </c>
      <c r="B5" s="4" t="s">
        <v>32</v>
      </c>
      <c r="C5" s="6">
        <v>45000</v>
      </c>
      <c r="D5" s="7">
        <v>28500</v>
      </c>
      <c r="E5" s="7">
        <v>2500</v>
      </c>
      <c r="F5" s="4">
        <v>7</v>
      </c>
      <c r="G5" s="4">
        <v>5</v>
      </c>
      <c r="H5" s="8">
        <v>0</v>
      </c>
      <c r="I5" s="6"/>
      <c r="J5" s="7"/>
      <c r="K5">
        <f t="shared" ref="K5:K10" si="0">IF($C5="","",MAX(0,MIN($F5*12,($B$3-1-YEAR($C5))*12+13-MONTH($C5))))</f>
        <v>34</v>
      </c>
      <c r="L5">
        <f t="shared" ref="L5:L10" si="1">IF($C5="","",IF(YEAR($C5)&gt;$B$3,0,IF(AND($I5&lt;&gt;"",YEAR($I5)&lt;$B$3),0,MAX(0,MIN(IF(AND($I5&lt;&gt;"",YEAR($I5)=$B$3),MONTH($I5)-1,12)-IF(YEAR($C5)=$B$3,MONTH($C5),1)+1,$F5*12-K5)))))</f>
        <v>12</v>
      </c>
      <c r="M5" s="9">
        <f t="shared" ref="M5:M10" si="2">IF($C5="","",IF($F5&gt;0,MAX(0,$D5-$E5)/($F5*12),0))</f>
        <v>309.52380952380952</v>
      </c>
      <c r="N5" s="9">
        <f t="shared" ref="N5:N10" si="3">IF($C5="","",IF($AA5=1,0,K5*M5))</f>
        <v>10523.809523809523</v>
      </c>
      <c r="O5" s="9">
        <f t="shared" ref="O5:O10" si="4">IF($C5="","",L5*M5)</f>
        <v>3714.2857142857142</v>
      </c>
      <c r="P5" s="9">
        <f t="shared" ref="P5:P10" si="5">IF($C5="",0,IF(Y5=1,N5+O5,0))</f>
        <v>0</v>
      </c>
      <c r="Q5" s="9">
        <f t="shared" ref="Q5:Q10" si="6">IF($C5="","",IF(OR(Y5=1,$AA5=1),0,N5+O5))</f>
        <v>14238.095238095237</v>
      </c>
      <c r="R5" s="9">
        <f t="shared" ref="R5:R10" si="7">IF($C5="","",IF(OR(Y5=1,AND($I5&lt;&gt;"",YEAR($I5)&lt;$B$3)),0,$D5))</f>
        <v>28500</v>
      </c>
      <c r="S5" s="9">
        <f t="shared" ref="S5:S10" si="8">IF($C5="","",R5-Q5)</f>
        <v>14261.904761904763</v>
      </c>
      <c r="T5" s="9" t="str">
        <f t="shared" ref="T5:T10" si="9">IF(Y5=1,$J5-($D5-P5),"")</f>
        <v/>
      </c>
      <c r="U5">
        <f t="shared" ref="U5:U10" si="10">IF($C5="","",$B$3-YEAR($C5)+1)</f>
        <v>4</v>
      </c>
      <c r="V5" s="1">
        <f>IF($C5="","",IF(U5&lt;1,0,IFERROR(INDEX(Tables!$B$3:$F$18,U5,MATCH($G5,Tables!$B$2:$F$2,0)),0)))</f>
        <v>0.1152</v>
      </c>
      <c r="W5" s="9">
        <f t="shared" ref="W5:W10" si="11">IF($C5="","",IF(OR($AA5=1,YEAR($C5)&gt;$B$3),0,($D5*(1-$H5))*V5*IF(Y5=1,0.5,1)+IF(U5=1,$D5*$H5,0)))</f>
        <v>3283.2</v>
      </c>
      <c r="X5">
        <f t="shared" ref="X5:X10" si="12">IF($C5="",0,IF(YEAR($C5)=$B$3,1,0))</f>
        <v>0</v>
      </c>
      <c r="Y5">
        <f t="shared" ref="Y5:Y10" si="13">IF($C5="",0,IF(AND($I5&lt;&gt;"",YEAR($I5)=$B$3),1,0))</f>
        <v>0</v>
      </c>
      <c r="Z5" s="13" t="str">
        <f>IF($C5="","",IF($F5&lt;=0,"Life must be greater than 0",IF($D5&lt;0,"Cost cannot be negative",IF($E5&gt;$D5,"Salvage exceeds cost",IF(YEAR($C5)&gt;$B$3,"In-service date is after the report year",IF(AND($I5&lt;&gt;"",$I5&lt;$C5),"Disposal date is before in-service date",IF(ISNA(MATCH($G5,Tables!$B$2:$F$2,0)),"Tax class must be 3, 5, 7, 10 or 15",IF($AA5=1,"Disposed in a prior year - remove this row","OK"))))))))</f>
        <v>OK</v>
      </c>
      <c r="AA5" s="4">
        <f t="shared" ref="AA5:AA10" si="14">IF($C5="",0,IF(AND($I5&lt;&gt;"",YEAR($I5)&lt;$B$3),1,0))</f>
        <v>0</v>
      </c>
    </row>
    <row r="6" spans="1:27" ht="13.5" customHeight="1" x14ac:dyDescent="0.25">
      <c r="A6" s="4" t="s">
        <v>33</v>
      </c>
      <c r="B6" s="4" t="s">
        <v>34</v>
      </c>
      <c r="C6" s="6">
        <v>45474</v>
      </c>
      <c r="D6" s="7">
        <v>64200</v>
      </c>
      <c r="E6" s="7">
        <v>0</v>
      </c>
      <c r="F6" s="4">
        <v>10</v>
      </c>
      <c r="G6" s="4">
        <v>15</v>
      </c>
      <c r="H6" s="8">
        <v>0</v>
      </c>
      <c r="I6" s="6"/>
      <c r="J6" s="7"/>
      <c r="K6">
        <f t="shared" si="0"/>
        <v>18</v>
      </c>
      <c r="L6">
        <f t="shared" si="1"/>
        <v>12</v>
      </c>
      <c r="M6" s="9">
        <f t="shared" si="2"/>
        <v>535</v>
      </c>
      <c r="N6" s="9">
        <f t="shared" si="3"/>
        <v>9630</v>
      </c>
      <c r="O6" s="9">
        <f t="shared" si="4"/>
        <v>6420</v>
      </c>
      <c r="P6" s="9">
        <f t="shared" si="5"/>
        <v>0</v>
      </c>
      <c r="Q6" s="9">
        <f t="shared" si="6"/>
        <v>16050</v>
      </c>
      <c r="R6" s="9">
        <f t="shared" si="7"/>
        <v>64200</v>
      </c>
      <c r="S6" s="9">
        <f t="shared" si="8"/>
        <v>48150</v>
      </c>
      <c r="T6" s="9" t="str">
        <f t="shared" si="9"/>
        <v/>
      </c>
      <c r="U6">
        <f t="shared" si="10"/>
        <v>3</v>
      </c>
      <c r="V6" s="1">
        <f>IF($C6="","",IF(U6&lt;1,0,IFERROR(INDEX(Tables!$B$3:$F$18,U6,MATCH($G6,Tables!$B$2:$F$2,0)),0)))</f>
        <v>8.5500000000000007E-2</v>
      </c>
      <c r="W6" s="9">
        <f t="shared" si="11"/>
        <v>5489.1</v>
      </c>
      <c r="X6">
        <f t="shared" si="12"/>
        <v>0</v>
      </c>
      <c r="Y6">
        <f t="shared" si="13"/>
        <v>0</v>
      </c>
      <c r="Z6" s="13" t="str">
        <f>IF($C6="","",IF($F6&lt;=0,"Life must be greater than 0",IF($D6&lt;0,"Cost cannot be negative",IF($E6&gt;$D6,"Salvage exceeds cost",IF(YEAR($C6)&gt;$B$3,"In-service date is after the report year",IF(AND($I6&lt;&gt;"",$I6&lt;$C6),"Disposal date is before in-service date",IF(ISNA(MATCH($G6,Tables!$B$2:$F$2,0)),"Tax class must be 3, 5, 7, 10 or 15",IF($AA6=1,"Disposed in a prior year - remove this row","OK"))))))))</f>
        <v>OK</v>
      </c>
      <c r="AA6" s="4">
        <f t="shared" si="14"/>
        <v>0</v>
      </c>
    </row>
    <row r="7" spans="1:27" ht="13.5" customHeight="1" x14ac:dyDescent="0.25">
      <c r="A7" s="4" t="s">
        <v>35</v>
      </c>
      <c r="B7" s="4" t="s">
        <v>36</v>
      </c>
      <c r="C7" s="6">
        <v>46042</v>
      </c>
      <c r="D7" s="7">
        <v>8940</v>
      </c>
      <c r="E7" s="7">
        <v>0</v>
      </c>
      <c r="F7" s="4">
        <v>3</v>
      </c>
      <c r="G7" s="4">
        <v>5</v>
      </c>
      <c r="H7" s="8">
        <v>0.8</v>
      </c>
      <c r="I7" s="6"/>
      <c r="J7" s="7"/>
      <c r="K7">
        <f t="shared" si="0"/>
        <v>0</v>
      </c>
      <c r="L7">
        <f t="shared" si="1"/>
        <v>12</v>
      </c>
      <c r="M7" s="9">
        <f t="shared" si="2"/>
        <v>248.33333333333334</v>
      </c>
      <c r="N7" s="9">
        <f t="shared" si="3"/>
        <v>0</v>
      </c>
      <c r="O7" s="9">
        <f t="shared" si="4"/>
        <v>2980</v>
      </c>
      <c r="P7" s="9">
        <f t="shared" si="5"/>
        <v>0</v>
      </c>
      <c r="Q7" s="9">
        <f t="shared" si="6"/>
        <v>2980</v>
      </c>
      <c r="R7" s="9">
        <f t="shared" si="7"/>
        <v>8940</v>
      </c>
      <c r="S7" s="9">
        <f t="shared" si="8"/>
        <v>5960</v>
      </c>
      <c r="T7" s="9" t="str">
        <f t="shared" si="9"/>
        <v/>
      </c>
      <c r="U7">
        <f t="shared" si="10"/>
        <v>1</v>
      </c>
      <c r="V7" s="1">
        <f>IF($C7="","",IF(U7&lt;1,0,IFERROR(INDEX(Tables!$B$3:$F$18,U7,MATCH($G7,Tables!$B$2:$F$2,0)),0)))</f>
        <v>0.2</v>
      </c>
      <c r="W7" s="9">
        <f t="shared" si="11"/>
        <v>7509.6</v>
      </c>
      <c r="X7">
        <f t="shared" si="12"/>
        <v>1</v>
      </c>
      <c r="Y7">
        <f t="shared" si="13"/>
        <v>0</v>
      </c>
      <c r="Z7" s="13" t="str">
        <f>IF($C7="","",IF($F7&lt;=0,"Life must be greater than 0",IF($D7&lt;0,"Cost cannot be negative",IF($E7&gt;$D7,"Salvage exceeds cost",IF(YEAR($C7)&gt;$B$3,"In-service date is after the report year",IF(AND($I7&lt;&gt;"",$I7&lt;$C7),"Disposal date is before in-service date",IF(ISNA(MATCH($G7,Tables!$B$2:$F$2,0)),"Tax class must be 3, 5, 7, 10 or 15",IF($AA7=1,"Disposed in a prior year - remove this row","OK"))))))))</f>
        <v>OK</v>
      </c>
      <c r="AA7" s="4">
        <f t="shared" si="14"/>
        <v>0</v>
      </c>
    </row>
    <row r="8" spans="1:27" ht="13.5" customHeight="1" x14ac:dyDescent="0.25">
      <c r="A8" s="4" t="s">
        <v>37</v>
      </c>
      <c r="B8" s="4" t="s">
        <v>38</v>
      </c>
      <c r="C8" s="6">
        <v>46122</v>
      </c>
      <c r="D8" s="7">
        <v>52800</v>
      </c>
      <c r="E8" s="7">
        <v>4800</v>
      </c>
      <c r="F8" s="4">
        <v>5</v>
      </c>
      <c r="G8" s="4">
        <v>5</v>
      </c>
      <c r="H8" s="8">
        <v>0</v>
      </c>
      <c r="I8" s="6"/>
      <c r="J8" s="7"/>
      <c r="K8">
        <f t="shared" si="0"/>
        <v>0</v>
      </c>
      <c r="L8">
        <f t="shared" si="1"/>
        <v>9</v>
      </c>
      <c r="M8" s="9">
        <f t="shared" si="2"/>
        <v>800</v>
      </c>
      <c r="N8" s="9">
        <f t="shared" si="3"/>
        <v>0</v>
      </c>
      <c r="O8" s="9">
        <f t="shared" si="4"/>
        <v>7200</v>
      </c>
      <c r="P8" s="9">
        <f t="shared" si="5"/>
        <v>0</v>
      </c>
      <c r="Q8" s="9">
        <f t="shared" si="6"/>
        <v>7200</v>
      </c>
      <c r="R8" s="9">
        <f t="shared" si="7"/>
        <v>52800</v>
      </c>
      <c r="S8" s="9">
        <f t="shared" si="8"/>
        <v>45600</v>
      </c>
      <c r="T8" s="9" t="str">
        <f t="shared" si="9"/>
        <v/>
      </c>
      <c r="U8">
        <f t="shared" si="10"/>
        <v>1</v>
      </c>
      <c r="V8" s="1">
        <f>IF($C8="","",IF(U8&lt;1,0,IFERROR(INDEX(Tables!$B$3:$F$18,U8,MATCH($G8,Tables!$B$2:$F$2,0)),0)))</f>
        <v>0.2</v>
      </c>
      <c r="W8" s="9">
        <f t="shared" si="11"/>
        <v>10560</v>
      </c>
      <c r="X8">
        <f t="shared" si="12"/>
        <v>1</v>
      </c>
      <c r="Y8">
        <f t="shared" si="13"/>
        <v>0</v>
      </c>
      <c r="Z8" s="13" t="str">
        <f>IF($C8="","",IF($F8&lt;=0,"Life must be greater than 0",IF($D8&lt;0,"Cost cannot be negative",IF($E8&gt;$D8,"Salvage exceeds cost",IF(YEAR($C8)&gt;$B$3,"In-service date is after the report year",IF(AND($I8&lt;&gt;"",$I8&lt;$C8),"Disposal date is before in-service date",IF(ISNA(MATCH($G8,Tables!$B$2:$F$2,0)),"Tax class must be 3, 5, 7, 10 or 15",IF($AA8=1,"Disposed in a prior year - remove this row","OK"))))))))</f>
        <v>OK</v>
      </c>
      <c r="AA8" s="4">
        <f t="shared" si="14"/>
        <v>0</v>
      </c>
    </row>
    <row r="9" spans="1:27" ht="13.5" customHeight="1" x14ac:dyDescent="0.25">
      <c r="A9" s="4" t="s">
        <v>39</v>
      </c>
      <c r="B9" s="4" t="s">
        <v>40</v>
      </c>
      <c r="C9" s="6">
        <v>44440</v>
      </c>
      <c r="D9" s="7">
        <v>145000</v>
      </c>
      <c r="E9" s="7">
        <v>5000</v>
      </c>
      <c r="F9" s="4">
        <v>10</v>
      </c>
      <c r="G9" s="4">
        <v>7</v>
      </c>
      <c r="H9" s="8">
        <v>0</v>
      </c>
      <c r="I9" s="6"/>
      <c r="J9" s="7"/>
      <c r="K9">
        <f t="shared" si="0"/>
        <v>52</v>
      </c>
      <c r="L9">
        <f t="shared" si="1"/>
        <v>12</v>
      </c>
      <c r="M9" s="9">
        <f t="shared" si="2"/>
        <v>1166.6666666666667</v>
      </c>
      <c r="N9" s="9">
        <f t="shared" si="3"/>
        <v>60666.666666666672</v>
      </c>
      <c r="O9" s="9">
        <f t="shared" si="4"/>
        <v>14000</v>
      </c>
      <c r="P9" s="9">
        <f t="shared" si="5"/>
        <v>0</v>
      </c>
      <c r="Q9" s="9">
        <f t="shared" si="6"/>
        <v>74666.666666666672</v>
      </c>
      <c r="R9" s="9">
        <f t="shared" si="7"/>
        <v>145000</v>
      </c>
      <c r="S9" s="9">
        <f t="shared" si="8"/>
        <v>70333.333333333328</v>
      </c>
      <c r="T9" s="9" t="str">
        <f t="shared" si="9"/>
        <v/>
      </c>
      <c r="U9">
        <f t="shared" si="10"/>
        <v>6</v>
      </c>
      <c r="V9" s="1">
        <f>IF($C9="","",IF(U9&lt;1,0,IFERROR(INDEX(Tables!$B$3:$F$18,U9,MATCH($G9,Tables!$B$2:$F$2,0)),0)))</f>
        <v>8.9200000000000002E-2</v>
      </c>
      <c r="W9" s="9">
        <f t="shared" si="11"/>
        <v>12934</v>
      </c>
      <c r="X9">
        <f t="shared" si="12"/>
        <v>0</v>
      </c>
      <c r="Y9">
        <f t="shared" si="13"/>
        <v>0</v>
      </c>
      <c r="Z9" s="13" t="str">
        <f>IF($C9="","",IF($F9&lt;=0,"Life must be greater than 0",IF($D9&lt;0,"Cost cannot be negative",IF($E9&gt;$D9,"Salvage exceeds cost",IF(YEAR($C9)&gt;$B$3,"In-service date is after the report year",IF(AND($I9&lt;&gt;"",$I9&lt;$C9),"Disposal date is before in-service date",IF(ISNA(MATCH($G9,Tables!$B$2:$F$2,0)),"Tax class must be 3, 5, 7, 10 or 15",IF($AA9=1,"Disposed in a prior year - remove this row","OK"))))))))</f>
        <v>OK</v>
      </c>
      <c r="AA9" s="4">
        <f t="shared" si="14"/>
        <v>0</v>
      </c>
    </row>
    <row r="10" spans="1:27" ht="13.5" customHeight="1" x14ac:dyDescent="0.25">
      <c r="A10" s="4" t="s">
        <v>41</v>
      </c>
      <c r="B10" s="4" t="s">
        <v>42</v>
      </c>
      <c r="C10" s="6">
        <v>44693</v>
      </c>
      <c r="D10" s="7">
        <v>18600</v>
      </c>
      <c r="E10" s="7">
        <v>0</v>
      </c>
      <c r="F10" s="4">
        <v>5</v>
      </c>
      <c r="G10" s="4">
        <v>5</v>
      </c>
      <c r="H10" s="8">
        <v>0</v>
      </c>
      <c r="I10" s="6">
        <v>46188</v>
      </c>
      <c r="J10" s="7">
        <v>4200</v>
      </c>
      <c r="K10">
        <f t="shared" si="0"/>
        <v>44</v>
      </c>
      <c r="L10">
        <f t="shared" si="1"/>
        <v>5</v>
      </c>
      <c r="M10" s="9">
        <f t="shared" si="2"/>
        <v>310</v>
      </c>
      <c r="N10" s="9">
        <f t="shared" si="3"/>
        <v>13640</v>
      </c>
      <c r="O10" s="9">
        <f t="shared" si="4"/>
        <v>1550</v>
      </c>
      <c r="P10" s="9">
        <f t="shared" si="5"/>
        <v>15190</v>
      </c>
      <c r="Q10" s="9">
        <f t="shared" si="6"/>
        <v>0</v>
      </c>
      <c r="R10" s="9">
        <f t="shared" si="7"/>
        <v>0</v>
      </c>
      <c r="S10" s="9">
        <f t="shared" si="8"/>
        <v>0</v>
      </c>
      <c r="T10" s="9">
        <f t="shared" si="9"/>
        <v>790</v>
      </c>
      <c r="U10">
        <f t="shared" si="10"/>
        <v>5</v>
      </c>
      <c r="V10" s="1">
        <f>IF($C10="","",IF(U10&lt;1,0,IFERROR(INDEX(Tables!$B$3:$F$18,U10,MATCH($G10,Tables!$B$2:$F$2,0)),0)))</f>
        <v>0.1152</v>
      </c>
      <c r="W10" s="9">
        <f t="shared" si="11"/>
        <v>1071.3599999999999</v>
      </c>
      <c r="X10">
        <f t="shared" si="12"/>
        <v>0</v>
      </c>
      <c r="Y10">
        <f t="shared" si="13"/>
        <v>1</v>
      </c>
      <c r="Z10" s="13" t="str">
        <f>IF($C10="","",IF($F10&lt;=0,"Life must be greater than 0",IF($D10&lt;0,"Cost cannot be negative",IF($E10&gt;$D10,"Salvage exceeds cost",IF(YEAR($C10)&gt;$B$3,"In-service date is after the report year",IF(AND($I10&lt;&gt;"",$I10&lt;$C10),"Disposal date is before in-service date",IF(ISNA(MATCH($G10,Tables!$B$2:$F$2,0)),"Tax class must be 3, 5, 7, 10 or 15",IF($AA10=1,"Disposed in a prior year - remove this row","OK"))))))))</f>
        <v>OK</v>
      </c>
      <c r="AA10" s="4">
        <f t="shared" si="14"/>
        <v>0</v>
      </c>
    </row>
    <row r="11" spans="1:27" ht="13.5" customHeight="1" x14ac:dyDescent="0.25">
      <c r="B11" s="5" t="s">
        <v>43</v>
      </c>
      <c r="D11" s="10">
        <f>SUM(D5:D10)</f>
        <v>318040</v>
      </c>
      <c r="E11" s="9"/>
      <c r="J11" s="10">
        <f>SUM(J5:J10)</f>
        <v>4200</v>
      </c>
      <c r="M11" s="9"/>
      <c r="N11" s="10">
        <f t="shared" ref="N11:T11" si="15">SUM(N5:N10)</f>
        <v>94460.476190476198</v>
      </c>
      <c r="O11" s="10">
        <f t="shared" si="15"/>
        <v>35864.28571428571</v>
      </c>
      <c r="P11" s="10">
        <f t="shared" si="15"/>
        <v>15190</v>
      </c>
      <c r="Q11" s="10">
        <f t="shared" si="15"/>
        <v>115134.76190476191</v>
      </c>
      <c r="R11" s="10">
        <f t="shared" si="15"/>
        <v>299440</v>
      </c>
      <c r="S11" s="10">
        <f t="shared" si="15"/>
        <v>184305.23809523811</v>
      </c>
      <c r="T11" s="10">
        <f t="shared" si="15"/>
        <v>790</v>
      </c>
      <c r="W11" s="10">
        <f>SUM(W5:W10)</f>
        <v>40847.26</v>
      </c>
    </row>
    <row r="14" spans="1:27" ht="13.5" customHeight="1" x14ac:dyDescent="0.25">
      <c r="A14" s="5" t="s">
        <v>44</v>
      </c>
      <c r="B14" t="s">
        <v>7</v>
      </c>
      <c r="C14" t="s">
        <v>45</v>
      </c>
    </row>
    <row r="15" spans="1:27" ht="13.5" customHeight="1" x14ac:dyDescent="0.25">
      <c r="A15" t="s">
        <v>46</v>
      </c>
      <c r="B15" s="9">
        <f>SUMPRODUCT(($C$5:$C$10&lt;&gt;"")*(1-$X$5:$X$10)*(1-$AA$5:$AA$10)*$D$5:$D$10)</f>
        <v>256300</v>
      </c>
      <c r="C15" s="9">
        <f>$N$11</f>
        <v>94460.476190476198</v>
      </c>
    </row>
    <row r="16" spans="1:27" ht="13.5" customHeight="1" x14ac:dyDescent="0.25">
      <c r="A16" t="s">
        <v>47</v>
      </c>
      <c r="B16" s="9">
        <f>SUMPRODUCT($X$5:$X$10*$D$5:$D$10)</f>
        <v>61740</v>
      </c>
      <c r="C16" s="9">
        <f>$O$11</f>
        <v>35864.28571428571</v>
      </c>
    </row>
    <row r="17" spans="1:3" ht="13.5" customHeight="1" x14ac:dyDescent="0.25">
      <c r="A17" t="s">
        <v>48</v>
      </c>
      <c r="B17" s="9">
        <f>-SUMPRODUCT($Y$5:$Y$10*$D$5:$D$10)</f>
        <v>-18600</v>
      </c>
      <c r="C17" s="9">
        <f>-$P$11</f>
        <v>-15190</v>
      </c>
    </row>
    <row r="18" spans="1:3" ht="13.5" customHeight="1" x14ac:dyDescent="0.25">
      <c r="A18" t="s">
        <v>49</v>
      </c>
      <c r="B18" s="10">
        <f>SUM(B15:B17)</f>
        <v>299440</v>
      </c>
      <c r="C18" s="10">
        <f>SUM(C15:C17)</f>
        <v>115134.76190476191</v>
      </c>
    </row>
    <row r="19" spans="1:3" ht="13.5" customHeight="1" x14ac:dyDescent="0.25">
      <c r="A19" t="s">
        <v>50</v>
      </c>
      <c r="B19" s="9" t="str">
        <f>IF(ROUND(B18-$R$11,2)=0,"OK",B18-$R$11)</f>
        <v>OK</v>
      </c>
      <c r="C19" s="9" t="str">
        <f>IF(ROUND(C18-$Q$11,2)=0,"OK",C18-$Q$11)</f>
        <v>OK</v>
      </c>
    </row>
    <row r="20" spans="1:3" ht="13.5" customHeight="1" x14ac:dyDescent="0.25">
      <c r="A20" t="s">
        <v>51</v>
      </c>
      <c r="B20" s="10">
        <f>B18-C18</f>
        <v>184305.23809523811</v>
      </c>
      <c r="C20" s="9"/>
    </row>
    <row r="21" spans="1:3" ht="13.5" customHeight="1" x14ac:dyDescent="0.25">
      <c r="A21" t="s">
        <v>50</v>
      </c>
      <c r="B21" s="9" t="str">
        <f>IF(ROUND(B20-$S$11,2)=0,"OK",B20-$S$11)</f>
        <v>OK</v>
      </c>
      <c r="C21" s="9"/>
    </row>
    <row r="22" spans="1:3" ht="13.5" customHeight="1" x14ac:dyDescent="0.25">
      <c r="A22" t="s">
        <v>52</v>
      </c>
      <c r="B22" s="9" t="str">
        <f>IF(SUMPRODUCT(($C$5:$C$10&lt;&gt;"")*($Z$5:$Z$10&lt;&gt;"OK"))=0,"OK",SUMPRODUCT(($C$5:$C$10&lt;&gt;"")*($Z$5:$Z$10&lt;&gt;"OK"))&amp;" row(s) need attention - see Check column")</f>
        <v>OK</v>
      </c>
    </row>
    <row r="23" spans="1:3" ht="13.5" customHeight="1" x14ac:dyDescent="0.25">
      <c r="A23" s="5" t="s">
        <v>53</v>
      </c>
    </row>
    <row r="24" spans="1:3" ht="13.5" customHeight="1" x14ac:dyDescent="0.25">
      <c r="A24" t="s">
        <v>54</v>
      </c>
      <c r="B24" s="7"/>
      <c r="C24" t="str">
        <f>IF($B24="","enter GL balance",IF(ROUND($B24-B18,2)=0,"OK",$B24-B18))</f>
        <v>enter GL balance</v>
      </c>
    </row>
    <row r="25" spans="1:3" ht="13.5" customHeight="1" x14ac:dyDescent="0.25">
      <c r="A25" t="s">
        <v>55</v>
      </c>
      <c r="B25" s="7"/>
      <c r="C25" t="str">
        <f>IF($B25="","enter GL balance",IF(ROUND($B25-C18,2)=0,"OK",$B25-C18))</f>
        <v>enter GL balance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zoomScaleNormal="100" workbookViewId="0"/>
  </sheetViews>
  <sheetFormatPr defaultColWidth="8.5703125" defaultRowHeight="13.5" x14ac:dyDescent="0.25"/>
  <cols>
    <col min="1" max="1" width="110.7109375" customWidth="1"/>
  </cols>
  <sheetData>
    <row r="1" spans="1:1" ht="13.5" customHeight="1" x14ac:dyDescent="0.25">
      <c r="A1" t="s">
        <v>56</v>
      </c>
    </row>
    <row r="3" spans="1:1" ht="13.5" customHeight="1" x14ac:dyDescent="0.25">
      <c r="A3" t="s">
        <v>57</v>
      </c>
    </row>
    <row r="4" spans="1:1" ht="13.5" customHeight="1" x14ac:dyDescent="0.25">
      <c r="A4" t="s">
        <v>58</v>
      </c>
    </row>
    <row r="5" spans="1:1" ht="13.5" customHeight="1" x14ac:dyDescent="0.25">
      <c r="A5" t="s">
        <v>59</v>
      </c>
    </row>
    <row r="6" spans="1:1" ht="13.5" customHeight="1" x14ac:dyDescent="0.25">
      <c r="A6" t="s">
        <v>60</v>
      </c>
    </row>
    <row r="7" spans="1:1" ht="13.5" customHeight="1" x14ac:dyDescent="0.25">
      <c r="A7" t="s">
        <v>61</v>
      </c>
    </row>
    <row r="8" spans="1:1" ht="13.5" customHeight="1" x14ac:dyDescent="0.25">
      <c r="A8" t="s">
        <v>62</v>
      </c>
    </row>
    <row r="9" spans="1:1" ht="13.5" customHeight="1" x14ac:dyDescent="0.25">
      <c r="A9" t="s">
        <v>63</v>
      </c>
    </row>
    <row r="10" spans="1:1" x14ac:dyDescent="0.25">
      <c r="A10" t="s">
        <v>64</v>
      </c>
    </row>
    <row r="11" spans="1:1" x14ac:dyDescent="0.25">
      <c r="A11" t="s">
        <v>65</v>
      </c>
    </row>
    <row r="12" spans="1:1" x14ac:dyDescent="0.25">
      <c r="A12" t="s">
        <v>66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Register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Huynh</dc:creator>
  <dc:description/>
  <cp:lastModifiedBy>Jimmy Huynh</cp:lastModifiedBy>
  <cp:revision>0</cp:revision>
  <dcterms:created xsi:type="dcterms:W3CDTF">2026-08-24T04:17:02Z</dcterms:created>
  <dcterms:modified xsi:type="dcterms:W3CDTF">2026-08-24T04:40:29Z</dcterms:modified>
  <dc:language>en-US</dc:language>
</cp:coreProperties>
</file>