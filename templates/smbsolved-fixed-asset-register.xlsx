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smbsolved-marketing\out\templates\"/>
    </mc:Choice>
  </mc:AlternateContent>
  <xr:revisionPtr revIDLastSave="0" documentId="8_{5DF2E03C-4C0E-434F-843B-EE74B943DCC0}" xr6:coauthVersionLast="47" xr6:coauthVersionMax="47" xr10:uidLastSave="{00000000-0000-0000-0000-000000000000}"/>
  <bookViews>
    <workbookView xWindow="-31950" yWindow="2415" windowWidth="24885" windowHeight="17775" activeTab="2" xr2:uid="{81740E39-A5A5-4EE9-9693-464C971E4014}"/>
  </bookViews>
  <sheets>
    <sheet name="Tables" sheetId="1" r:id="rId1"/>
    <sheet name="Register" sheetId="2" r:id="rId2"/>
    <sheet name="Readm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5" i="2" l="1"/>
  <c r="C24" i="2"/>
  <c r="B21" i="2"/>
  <c r="B20" i="2"/>
  <c r="C19" i="2"/>
  <c r="B19" i="2"/>
  <c r="C18" i="2"/>
  <c r="B18" i="2"/>
  <c r="C17" i="2"/>
  <c r="B17" i="2" a="1"/>
  <c r="B17" i="2" s="1"/>
  <c r="C16" i="2"/>
  <c r="B16" i="2" a="1"/>
  <c r="B16" i="2" s="1"/>
  <c r="C15" i="2"/>
  <c r="B15" i="2" a="1"/>
  <c r="B15" i="2" s="1"/>
  <c r="W11" i="2"/>
  <c r="S11" i="2"/>
  <c r="R11" i="2"/>
  <c r="Q11" i="2"/>
  <c r="P11" i="2"/>
  <c r="O11" i="2"/>
  <c r="N11" i="2"/>
  <c r="D11" i="2"/>
  <c r="N10" i="2"/>
  <c r="N9" i="2"/>
  <c r="N8" i="2"/>
  <c r="N7" i="2"/>
  <c r="N6" i="2"/>
  <c r="N5" i="2"/>
  <c r="V10" i="2" a="1"/>
  <c r="V10" i="2" s="1"/>
  <c r="W10" i="2" s="1"/>
  <c r="V9" i="2" a="1"/>
  <c r="V9" i="2" s="1"/>
  <c r="W9" i="2" s="1"/>
  <c r="V8" i="2" a="1"/>
  <c r="V8" i="2" s="1"/>
  <c r="W8" i="2" s="1"/>
  <c r="V7" i="2" a="1"/>
  <c r="V7" i="2" s="1"/>
  <c r="W7" i="2" s="1"/>
  <c r="V6" i="2" a="1"/>
  <c r="V6" i="2" s="1"/>
  <c r="W6" i="2" s="1"/>
  <c r="V5" i="2" a="1"/>
  <c r="V5" i="2" s="1"/>
  <c r="W5" i="2" s="1"/>
  <c r="M10" i="2"/>
  <c r="M9" i="2"/>
  <c r="M8" i="2"/>
  <c r="M7" i="2"/>
  <c r="M6" i="2"/>
  <c r="M5" i="2"/>
  <c r="T9" i="2"/>
  <c r="T8" i="2"/>
  <c r="T7" i="2"/>
  <c r="T6" i="2"/>
  <c r="T5" i="2"/>
  <c r="P9" i="2"/>
  <c r="P8" i="2"/>
  <c r="P7" i="2"/>
  <c r="P6" i="2"/>
  <c r="P5" i="2"/>
  <c r="X10" i="2"/>
  <c r="X9" i="2"/>
  <c r="X8" i="2"/>
  <c r="X7" i="2"/>
  <c r="X6" i="2"/>
  <c r="X5" i="2"/>
  <c r="Q10" i="2"/>
  <c r="S10" i="2" s="1"/>
  <c r="Q8" i="2"/>
  <c r="S8" i="2" s="1"/>
  <c r="Q7" i="2"/>
  <c r="S7" i="2" s="1"/>
  <c r="Q6" i="2"/>
  <c r="S6" i="2" s="1"/>
  <c r="Q5" i="2"/>
  <c r="S5" i="2" s="1"/>
  <c r="O10" i="2"/>
  <c r="P10" i="2" s="1"/>
  <c r="T10" i="2" s="1"/>
  <c r="O9" i="2"/>
  <c r="Q9" i="2" s="1"/>
  <c r="S9" i="2" s="1"/>
  <c r="O8" i="2"/>
  <c r="O7" i="2"/>
  <c r="O6" i="2"/>
  <c r="O5" i="2"/>
  <c r="Y10" i="2"/>
  <c r="R10" i="2" s="1"/>
  <c r="Y9" i="2"/>
  <c r="Y8" i="2"/>
  <c r="Y7" i="2"/>
  <c r="Y6" i="2"/>
  <c r="R6" i="2" s="1"/>
  <c r="Y5" i="2"/>
  <c r="K10" i="2"/>
  <c r="K9" i="2"/>
  <c r="K8" i="2"/>
  <c r="K7" i="2"/>
  <c r="K6" i="2"/>
  <c r="K5" i="2"/>
  <c r="U10" i="2"/>
  <c r="U9" i="2"/>
  <c r="U8" i="2"/>
  <c r="U7" i="2"/>
  <c r="U6" i="2"/>
  <c r="U5" i="2"/>
  <c r="R9" i="2"/>
  <c r="R8" i="2"/>
  <c r="R7" i="2"/>
  <c r="R5" i="2"/>
  <c r="L10" i="2"/>
  <c r="L9" i="2"/>
  <c r="L8" i="2"/>
  <c r="L7" i="2"/>
  <c r="L6" i="2"/>
  <c r="L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<sst xmlns="http://schemas.openxmlformats.org/spreadsheetml/2006/main" count="65" uniqueCount="63">
  <si>
    <t>MACRS GDS, half-year convention (200% DB; 15-year is 150% DB)</t>
  </si>
  <si>
    <t>Year</t>
  </si>
  <si>
    <t>FIXED ASSET REGISTER &amp; ROLL-FORWARD</t>
  </si>
  <si>
    <t>smbsolved.com Â· every formula verified in real Excel Â· yellow cells are inputs</t>
  </si>
  <si>
    <t>Report year</t>
  </si>
  <si>
    <t>Asset ID</t>
  </si>
  <si>
    <t>Description</t>
  </si>
  <si>
    <t>In service</t>
  </si>
  <si>
    <t>Cost</t>
  </si>
  <si>
    <t>Salvage</t>
  </si>
  <si>
    <t>Life (yrs)</t>
  </si>
  <si>
    <t>Tax class</t>
  </si>
  <si>
    <t>Bonus %</t>
  </si>
  <si>
    <t>Disposed</t>
  </si>
  <si>
    <t>Proceeds</t>
  </si>
  <si>
    <t>Mo. prior</t>
  </si>
  <si>
    <t>Mo. this yr</t>
  </si>
  <si>
    <t>Monthly dep</t>
  </si>
  <si>
    <t>Beg A/D</t>
  </si>
  <si>
    <t>Dep this yr</t>
  </si>
  <si>
    <t>A/D relieved</t>
  </si>
  <si>
    <t>End A/D</t>
  </si>
  <si>
    <t>End cost</t>
  </si>
  <si>
    <t>NBV</t>
  </si>
  <si>
    <t>Gain/(loss)</t>
  </si>
  <si>
    <t>Tax yr</t>
  </si>
  <si>
    <t>MACRS %</t>
  </si>
  <si>
    <t>Tax dep</t>
  </si>
  <si>
    <t>_add</t>
  </si>
  <si>
    <t>_disp</t>
  </si>
  <si>
    <t>FA-0001</t>
  </si>
  <si>
    <t>Crown FC 5200 forklift</t>
  </si>
  <si>
    <t>FA-0002</t>
  </si>
  <si>
    <t>Office buildout, Suite 210</t>
  </si>
  <si>
    <t>FA-0003</t>
  </si>
  <si>
    <t>Dell Latitude laptops (x6)</t>
  </si>
  <si>
    <t>FA-0004</t>
  </si>
  <si>
    <t>Ford F-350 service truck</t>
  </si>
  <si>
    <t>FA-0005</t>
  </si>
  <si>
    <t>Haas VF-2 CNC mill</t>
  </si>
  <si>
    <t>FA-0006</t>
  </si>
  <si>
    <t>Dell PowerEdge server</t>
  </si>
  <si>
    <t>TOTALS</t>
  </si>
  <si>
    <t>ROLL-FORWARD</t>
  </si>
  <si>
    <t>Accum. dep.</t>
  </si>
  <si>
    <t>Beginning</t>
  </si>
  <si>
    <t>Additions / depreciation</t>
  </si>
  <si>
    <t>Disposals / A/D relieved</t>
  </si>
  <si>
    <t>Ending</t>
  </si>
  <si>
    <t>Ties to detail?</t>
  </si>
  <si>
    <t>Net book value</t>
  </si>
  <si>
    <t>TIE TO GL</t>
  </si>
  <si>
    <t>GL fixed asset cost</t>
  </si>
  <si>
    <t>GL accumulated depreciation</t>
  </si>
  <si>
    <t>FIXED ASSET REGISTER &amp; ROLL-FORWARD, from smbsolved.com</t>
  </si>
  <si>
    <t>Yellow cells are inputs. Everything else calculates.</t>
  </si>
  <si>
    <t>Book depreciation is straight line, full-month convention: the month you place an asset in service counts, the month you dispose of it does not.</t>
  </si>
  <si>
    <t>Tax depreciation is MACRS GDS half-year (percentages on the Tables sheet). Bonus % applies in year one and reduces the MACRS basis. Section 179 is not modeled; ask your tax preparer.</t>
  </si>
  <si>
    <t>The tie-out rows should read OK. If one shows a number, that number is exactly how far off you are.</t>
  </si>
  <si>
    <t>Remove assets disposed of in years before the report year; the register shows the current year only.</t>
  </si>
  <si>
    <t>Add rows: insert above the TOTALS row, then fill the formulas down from the row above.</t>
  </si>
  <si>
    <t>No macros. Works in Excel 2016 and later.</t>
  </si>
  <si>
    <t>Every formula in this file was computed and checked in real Excel before publishing.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</si>
</sst>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rgb="FF5A5A5A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0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14" fontId="0" fillId="2" borderId="0" xfId="0" applyNumberFormat="1" applyFill="1"/>
    <xf numFmtId="4" fontId="0" fillId="2" borderId="0" xfId="0" applyNumberFormat="1" applyFill="1"/>
    <xf numFmtId="4" fontId="1" fillId="0" borderId="0" xfId="0" applyNumberFormat="1" applyFont="1"/>
    <xf numFmtId="4" fontId="0" fillId="0" borderId="0" xfId="0" applyNumberFormat="1"/>
    <xf numFmtId="9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6F944-92A0-45CA-AB81-D7301A1E4ACC}">
  <dimension ref="A1:F18"/>
  <sheetViews>
    <sheetView workbookViewId="0"/>
  </sheetViews>
  <sheetFormatPr defaultRowHeight="13.5" x14ac:dyDescent="0.25"/>
  <sheetData>
    <row r="1" spans="1:6" x14ac:dyDescent="0.25">
      <c r="A1" t="s">
        <v>0</v>
      </c>
    </row>
    <row r="2" spans="1:6" x14ac:dyDescent="0.25">
      <c r="A2" t="s">
        <v>1</v>
      </c>
      <c r="B2">
        <v>3</v>
      </c>
      <c r="C2">
        <v>5</v>
      </c>
      <c r="D2">
        <v>7</v>
      </c>
      <c r="E2">
        <v>10</v>
      </c>
      <c r="F2">
        <v>15</v>
      </c>
    </row>
    <row r="3" spans="1:6" x14ac:dyDescent="0.25">
      <c r="A3">
        <v>1</v>
      </c>
      <c r="B3" s="1">
        <v>0.33329999999999999</v>
      </c>
      <c r="C3" s="1">
        <v>0.2</v>
      </c>
      <c r="D3" s="1">
        <v>0.1429</v>
      </c>
      <c r="E3" s="1">
        <v>0.1</v>
      </c>
      <c r="F3" s="1">
        <v>0.05</v>
      </c>
    </row>
    <row r="4" spans="1:6" x14ac:dyDescent="0.25">
      <c r="A4">
        <v>2</v>
      </c>
      <c r="B4" s="1">
        <v>0.44450000000000001</v>
      </c>
      <c r="C4" s="1">
        <v>0.32</v>
      </c>
      <c r="D4" s="1">
        <v>0.24490000000000001</v>
      </c>
      <c r="E4" s="1">
        <v>0.18</v>
      </c>
      <c r="F4" s="1">
        <v>9.5000000000000001E-2</v>
      </c>
    </row>
    <row r="5" spans="1:6" x14ac:dyDescent="0.25">
      <c r="A5">
        <v>3</v>
      </c>
      <c r="B5" s="1">
        <v>0.14810000000000001</v>
      </c>
      <c r="C5" s="1">
        <v>0.192</v>
      </c>
      <c r="D5" s="1">
        <v>0.1749</v>
      </c>
      <c r="E5" s="1">
        <v>0.14399999999999999</v>
      </c>
      <c r="F5" s="1">
        <v>8.5500000000000007E-2</v>
      </c>
    </row>
    <row r="6" spans="1:6" x14ac:dyDescent="0.25">
      <c r="A6">
        <v>4</v>
      </c>
      <c r="B6" s="1">
        <v>7.4099999999999999E-2</v>
      </c>
      <c r="C6" s="1">
        <v>0.1152</v>
      </c>
      <c r="D6" s="1">
        <v>0.1249</v>
      </c>
      <c r="E6" s="1">
        <v>0.1152</v>
      </c>
      <c r="F6" s="1">
        <v>7.6999999999999999E-2</v>
      </c>
    </row>
    <row r="7" spans="1:6" x14ac:dyDescent="0.25">
      <c r="A7">
        <v>5</v>
      </c>
      <c r="B7" s="1"/>
      <c r="C7" s="1">
        <v>0.1152</v>
      </c>
      <c r="D7" s="1">
        <v>8.9300000000000004E-2</v>
      </c>
      <c r="E7" s="1">
        <v>9.2200000000000004E-2</v>
      </c>
      <c r="F7" s="1">
        <v>6.93E-2</v>
      </c>
    </row>
    <row r="8" spans="1:6" x14ac:dyDescent="0.25">
      <c r="A8">
        <v>6</v>
      </c>
      <c r="B8" s="1"/>
      <c r="C8" s="1">
        <v>5.7599999999999998E-2</v>
      </c>
      <c r="D8" s="1">
        <v>8.9200000000000002E-2</v>
      </c>
      <c r="E8" s="1">
        <v>7.3700000000000002E-2</v>
      </c>
      <c r="F8" s="1">
        <v>6.2300000000000001E-2</v>
      </c>
    </row>
    <row r="9" spans="1:6" x14ac:dyDescent="0.25">
      <c r="A9">
        <v>7</v>
      </c>
      <c r="B9" s="1"/>
      <c r="C9" s="1"/>
      <c r="D9" s="1">
        <v>8.9300000000000004E-2</v>
      </c>
      <c r="E9" s="1">
        <v>6.5500000000000003E-2</v>
      </c>
      <c r="F9" s="1">
        <v>5.8999999999999997E-2</v>
      </c>
    </row>
    <row r="10" spans="1:6" x14ac:dyDescent="0.25">
      <c r="A10">
        <v>8</v>
      </c>
      <c r="B10" s="1"/>
      <c r="C10" s="1"/>
      <c r="D10" s="1">
        <v>4.4600000000000001E-2</v>
      </c>
      <c r="E10" s="1">
        <v>6.5500000000000003E-2</v>
      </c>
      <c r="F10" s="1">
        <v>5.8999999999999997E-2</v>
      </c>
    </row>
    <row r="11" spans="1:6" x14ac:dyDescent="0.25">
      <c r="A11">
        <v>9</v>
      </c>
      <c r="B11" s="1"/>
      <c r="C11" s="1"/>
      <c r="D11" s="1"/>
      <c r="E11" s="1">
        <v>6.5600000000000006E-2</v>
      </c>
      <c r="F11" s="1">
        <v>5.91E-2</v>
      </c>
    </row>
    <row r="12" spans="1:6" x14ac:dyDescent="0.25">
      <c r="A12">
        <v>10</v>
      </c>
      <c r="B12" s="1"/>
      <c r="C12" s="1"/>
      <c r="D12" s="1"/>
      <c r="E12" s="1">
        <v>6.5500000000000003E-2</v>
      </c>
      <c r="F12" s="1">
        <v>5.8999999999999997E-2</v>
      </c>
    </row>
    <row r="13" spans="1:6" x14ac:dyDescent="0.25">
      <c r="A13">
        <v>11</v>
      </c>
      <c r="B13" s="1"/>
      <c r="C13" s="1"/>
      <c r="D13" s="1"/>
      <c r="E13" s="1">
        <v>3.2800000000000003E-2</v>
      </c>
      <c r="F13" s="1">
        <v>5.91E-2</v>
      </c>
    </row>
    <row r="14" spans="1:6" x14ac:dyDescent="0.25">
      <c r="A14">
        <v>12</v>
      </c>
      <c r="B14" s="1"/>
      <c r="C14" s="1"/>
      <c r="D14" s="1"/>
      <c r="E14" s="1"/>
      <c r="F14" s="1">
        <v>5.8999999999999997E-2</v>
      </c>
    </row>
    <row r="15" spans="1:6" x14ac:dyDescent="0.25">
      <c r="A15">
        <v>13</v>
      </c>
      <c r="B15" s="1"/>
      <c r="C15" s="1"/>
      <c r="D15" s="1"/>
      <c r="E15" s="1"/>
      <c r="F15" s="1">
        <v>5.91E-2</v>
      </c>
    </row>
    <row r="16" spans="1:6" x14ac:dyDescent="0.25">
      <c r="A16">
        <v>14</v>
      </c>
      <c r="B16" s="1"/>
      <c r="C16" s="1"/>
      <c r="D16" s="1"/>
      <c r="E16" s="1"/>
      <c r="F16" s="1">
        <v>5.8999999999999997E-2</v>
      </c>
    </row>
    <row r="17" spans="1:6" x14ac:dyDescent="0.25">
      <c r="A17">
        <v>15</v>
      </c>
      <c r="B17" s="1"/>
      <c r="C17" s="1"/>
      <c r="D17" s="1"/>
      <c r="E17" s="1"/>
      <c r="F17" s="1">
        <v>5.91E-2</v>
      </c>
    </row>
    <row r="18" spans="1:6" x14ac:dyDescent="0.25">
      <c r="A18">
        <v>16</v>
      </c>
      <c r="B18" s="1"/>
      <c r="C18" s="1"/>
      <c r="D18" s="1"/>
      <c r="E18" s="1"/>
      <c r="F18" s="1">
        <v>2.9499999999999998E-2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8526F-181E-4A29-A33E-645525A16F11}">
  <dimension ref="A1:Y25"/>
  <sheetViews>
    <sheetView workbookViewId="0"/>
  </sheetViews>
  <sheetFormatPr defaultRowHeight="13.5" x14ac:dyDescent="0.25"/>
  <cols>
    <col min="2" max="2" width="26.7109375" customWidth="1"/>
    <col min="3" max="23" width="12.7109375" customWidth="1"/>
    <col min="24" max="25" width="0" hidden="1" customWidth="1"/>
  </cols>
  <sheetData>
    <row r="1" spans="1:25" ht="18.75" x14ac:dyDescent="0.3">
      <c r="A1" s="3" t="s">
        <v>2</v>
      </c>
    </row>
    <row r="2" spans="1:25" x14ac:dyDescent="0.25">
      <c r="A2" s="4" t="s">
        <v>3</v>
      </c>
    </row>
    <row r="3" spans="1:25" x14ac:dyDescent="0.25">
      <c r="A3" t="s">
        <v>4</v>
      </c>
      <c r="B3" s="5">
        <v>2026</v>
      </c>
    </row>
    <row r="4" spans="1:25" x14ac:dyDescent="0.25">
      <c r="A4" s="2" t="s">
        <v>5</v>
      </c>
      <c r="B4" s="2" t="s">
        <v>6</v>
      </c>
      <c r="C4" s="2" t="s">
        <v>7</v>
      </c>
      <c r="D4" s="2" t="s">
        <v>8</v>
      </c>
      <c r="E4" s="2" t="s">
        <v>9</v>
      </c>
      <c r="F4" s="2" t="s">
        <v>10</v>
      </c>
      <c r="G4" s="2" t="s">
        <v>11</v>
      </c>
      <c r="H4" s="2" t="s">
        <v>12</v>
      </c>
      <c r="I4" s="2" t="s">
        <v>13</v>
      </c>
      <c r="J4" s="2" t="s">
        <v>14</v>
      </c>
      <c r="K4" s="2" t="s">
        <v>15</v>
      </c>
      <c r="L4" s="2" t="s">
        <v>16</v>
      </c>
      <c r="M4" s="2" t="s">
        <v>17</v>
      </c>
      <c r="N4" s="2" t="s">
        <v>18</v>
      </c>
      <c r="O4" s="2" t="s">
        <v>19</v>
      </c>
      <c r="P4" s="2" t="s">
        <v>20</v>
      </c>
      <c r="Q4" s="2" t="s">
        <v>21</v>
      </c>
      <c r="R4" s="2" t="s">
        <v>22</v>
      </c>
      <c r="S4" s="2" t="s">
        <v>23</v>
      </c>
      <c r="T4" s="2" t="s">
        <v>24</v>
      </c>
      <c r="U4" s="2" t="s">
        <v>25</v>
      </c>
      <c r="V4" s="2" t="s">
        <v>26</v>
      </c>
      <c r="W4" s="2" t="s">
        <v>27</v>
      </c>
      <c r="X4" s="2" t="s">
        <v>28</v>
      </c>
      <c r="Y4" s="2" t="s">
        <v>29</v>
      </c>
    </row>
    <row r="5" spans="1:25" x14ac:dyDescent="0.25">
      <c r="A5" s="5" t="s">
        <v>30</v>
      </c>
      <c r="B5" s="5" t="s">
        <v>31</v>
      </c>
      <c r="C5" s="6">
        <v>45000</v>
      </c>
      <c r="D5" s="7">
        <v>28500</v>
      </c>
      <c r="E5" s="7">
        <v>2500</v>
      </c>
      <c r="F5" s="5">
        <v>7</v>
      </c>
      <c r="G5" s="5">
        <v>5</v>
      </c>
      <c r="H5" s="10">
        <v>0</v>
      </c>
      <c r="I5" s="6"/>
      <c r="J5" s="7"/>
      <c r="K5">
        <f>IF($C5="","",MAX(0,MIN($F5*12,($B$3-1-YEAR($C5))*12+13-MONTH($C5))))</f>
        <v>34</v>
      </c>
      <c r="L5">
        <f>IF($C5="","",IF(YEAR($C5)&gt;$B$3,0,IF(AND($I5&lt;&gt;"",YEAR($I5)&lt;$B$3),0,MAX(0,MIN(IF(AND($I5&lt;&gt;"",YEAR($I5)=$B$3),MONTH($I5)-1,12)-IF(YEAR($C5)=$B$3,MONTH($C5),1)+1,$F5*12-K5)))))</f>
        <v>12</v>
      </c>
      <c r="M5" s="9">
        <f>IF($C5="","",($D5-$E5)/($F5*12))</f>
        <v>309.52380952380952</v>
      </c>
      <c r="N5" s="9">
        <f>IF($C5="","",K5*M5)</f>
        <v>10523.809523809523</v>
      </c>
      <c r="O5" s="9">
        <f>IF($C5="","",L5*M5)</f>
        <v>3714.2857142857142</v>
      </c>
      <c r="P5" s="9">
        <f>IF(Y5=1,N5+O5,0)</f>
        <v>0</v>
      </c>
      <c r="Q5" s="9">
        <f>IF($C5="","",IF(Y5=1,0,N5+O5))</f>
        <v>14238.095238095237</v>
      </c>
      <c r="R5" s="9">
        <f>IF($C5="","",IF(OR(Y5=1,AND($I5&lt;&gt;"",YEAR($I5)&lt;$B$3)),0,$D5))</f>
        <v>28500</v>
      </c>
      <c r="S5" s="9">
        <f>IF($C5="","",R5-Q5)</f>
        <v>14261.904761904763</v>
      </c>
      <c r="T5" s="9" t="str">
        <f>IF(Y5=1,$J5-($D5-P5),"")</f>
        <v/>
      </c>
      <c r="U5">
        <f>IF($C5="","",$B$3-YEAR($C5)+1)</f>
        <v>4</v>
      </c>
      <c r="V5" s="1" cm="1">
        <f t="array" ref="V5">IF($C5="","",IFERROR(INDEX(Tables!$B$3:$F$18,U5,MATCH($G5,Tables!$B$2:$F$2,0)),0))</f>
        <v>0.1152</v>
      </c>
      <c r="W5" s="9">
        <f>IF($C5="","",IF(AND($I5&lt;&gt;"",YEAR($I5)&lt;$B$3),0,($D5*(1-$H5))*V5*IF(Y5=1,0.5,1)+IF(U5=1,$D5*$H5,0)))</f>
        <v>3283.2</v>
      </c>
      <c r="X5">
        <f>IF($C5="",0,IF(YEAR($C5)=$B$3,1,0))</f>
        <v>0</v>
      </c>
      <c r="Y5">
        <f>IF($C5="",0,IF(AND($I5&lt;&gt;"",YEAR($I5)=$B$3),1,0))</f>
        <v>0</v>
      </c>
    </row>
    <row r="6" spans="1:25" x14ac:dyDescent="0.25">
      <c r="A6" s="5" t="s">
        <v>32</v>
      </c>
      <c r="B6" s="5" t="s">
        <v>33</v>
      </c>
      <c r="C6" s="6">
        <v>45474</v>
      </c>
      <c r="D6" s="7">
        <v>64200</v>
      </c>
      <c r="E6" s="7">
        <v>0</v>
      </c>
      <c r="F6" s="5">
        <v>10</v>
      </c>
      <c r="G6" s="5">
        <v>15</v>
      </c>
      <c r="H6" s="10">
        <v>0</v>
      </c>
      <c r="I6" s="6"/>
      <c r="J6" s="7"/>
      <c r="K6">
        <f>IF($C6="","",MAX(0,MIN($F6*12,($B$3-1-YEAR($C6))*12+13-MONTH($C6))))</f>
        <v>18</v>
      </c>
      <c r="L6">
        <f>IF($C6="","",IF(YEAR($C6)&gt;$B$3,0,IF(AND($I6&lt;&gt;"",YEAR($I6)&lt;$B$3),0,MAX(0,MIN(IF(AND($I6&lt;&gt;"",YEAR($I6)=$B$3),MONTH($I6)-1,12)-IF(YEAR($C6)=$B$3,MONTH($C6),1)+1,$F6*12-K6)))))</f>
        <v>12</v>
      </c>
      <c r="M6" s="9">
        <f>IF($C6="","",($D6-$E6)/($F6*12))</f>
        <v>535</v>
      </c>
      <c r="N6" s="9">
        <f>IF($C6="","",K6*M6)</f>
        <v>9630</v>
      </c>
      <c r="O6" s="9">
        <f>IF($C6="","",L6*M6)</f>
        <v>6420</v>
      </c>
      <c r="P6" s="9">
        <f>IF(Y6=1,N6+O6,0)</f>
        <v>0</v>
      </c>
      <c r="Q6" s="9">
        <f>IF($C6="","",IF(Y6=1,0,N6+O6))</f>
        <v>16050</v>
      </c>
      <c r="R6" s="9">
        <f>IF($C6="","",IF(OR(Y6=1,AND($I6&lt;&gt;"",YEAR($I6)&lt;$B$3)),0,$D6))</f>
        <v>64200</v>
      </c>
      <c r="S6" s="9">
        <f>IF($C6="","",R6-Q6)</f>
        <v>48150</v>
      </c>
      <c r="T6" s="9" t="str">
        <f>IF(Y6=1,$J6-($D6-P6),"")</f>
        <v/>
      </c>
      <c r="U6">
        <f>IF($C6="","",$B$3-YEAR($C6)+1)</f>
        <v>3</v>
      </c>
      <c r="V6" s="1" cm="1">
        <f t="array" ref="V6">IF($C6="","",IFERROR(INDEX(Tables!$B$3:$F$18,U6,MATCH($G6,Tables!$B$2:$F$2,0)),0))</f>
        <v>8.5500000000000007E-2</v>
      </c>
      <c r="W6" s="9">
        <f>IF($C6="","",IF(AND($I6&lt;&gt;"",YEAR($I6)&lt;$B$3),0,($D6*(1-$H6))*V6*IF(Y6=1,0.5,1)+IF(U6=1,$D6*$H6,0)))</f>
        <v>5489.1</v>
      </c>
      <c r="X6">
        <f>IF($C6="",0,IF(YEAR($C6)=$B$3,1,0))</f>
        <v>0</v>
      </c>
      <c r="Y6">
        <f>IF($C6="",0,IF(AND($I6&lt;&gt;"",YEAR($I6)=$B$3),1,0))</f>
        <v>0</v>
      </c>
    </row>
    <row r="7" spans="1:25" x14ac:dyDescent="0.25">
      <c r="A7" s="5" t="s">
        <v>34</v>
      </c>
      <c r="B7" s="5" t="s">
        <v>35</v>
      </c>
      <c r="C7" s="6">
        <v>46042</v>
      </c>
      <c r="D7" s="7">
        <v>8940</v>
      </c>
      <c r="E7" s="7">
        <v>0</v>
      </c>
      <c r="F7" s="5">
        <v>3</v>
      </c>
      <c r="G7" s="5">
        <v>5</v>
      </c>
      <c r="H7" s="10">
        <v>0.8</v>
      </c>
      <c r="I7" s="6"/>
      <c r="J7" s="7"/>
      <c r="K7">
        <f>IF($C7="","",MAX(0,MIN($F7*12,($B$3-1-YEAR($C7))*12+13-MONTH($C7))))</f>
        <v>0</v>
      </c>
      <c r="L7">
        <f>IF($C7="","",IF(YEAR($C7)&gt;$B$3,0,IF(AND($I7&lt;&gt;"",YEAR($I7)&lt;$B$3),0,MAX(0,MIN(IF(AND($I7&lt;&gt;"",YEAR($I7)=$B$3),MONTH($I7)-1,12)-IF(YEAR($C7)=$B$3,MONTH($C7),1)+1,$F7*12-K7)))))</f>
        <v>12</v>
      </c>
      <c r="M7" s="9">
        <f>IF($C7="","",($D7-$E7)/($F7*12))</f>
        <v>248.33333333333334</v>
      </c>
      <c r="N7" s="9">
        <f>IF($C7="","",K7*M7)</f>
        <v>0</v>
      </c>
      <c r="O7" s="9">
        <f>IF($C7="","",L7*M7)</f>
        <v>2980</v>
      </c>
      <c r="P7" s="9">
        <f>IF(Y7=1,N7+O7,0)</f>
        <v>0</v>
      </c>
      <c r="Q7" s="9">
        <f>IF($C7="","",IF(Y7=1,0,N7+O7))</f>
        <v>2980</v>
      </c>
      <c r="R7" s="9">
        <f>IF($C7="","",IF(OR(Y7=1,AND($I7&lt;&gt;"",YEAR($I7)&lt;$B$3)),0,$D7))</f>
        <v>8940</v>
      </c>
      <c r="S7" s="9">
        <f>IF($C7="","",R7-Q7)</f>
        <v>5960</v>
      </c>
      <c r="T7" s="9" t="str">
        <f>IF(Y7=1,$J7-($D7-P7),"")</f>
        <v/>
      </c>
      <c r="U7">
        <f>IF($C7="","",$B$3-YEAR($C7)+1)</f>
        <v>1</v>
      </c>
      <c r="V7" s="1" cm="1">
        <f t="array" ref="V7">IF($C7="","",IFERROR(INDEX(Tables!$B$3:$F$18,U7,MATCH($G7,Tables!$B$2:$F$2,0)),0))</f>
        <v>0.2</v>
      </c>
      <c r="W7" s="9">
        <f>IF($C7="","",IF(AND($I7&lt;&gt;"",YEAR($I7)&lt;$B$3),0,($D7*(1-$H7))*V7*IF(Y7=1,0.5,1)+IF(U7=1,$D7*$H7,0)))</f>
        <v>7509.6</v>
      </c>
      <c r="X7">
        <f>IF($C7="",0,IF(YEAR($C7)=$B$3,1,0))</f>
        <v>1</v>
      </c>
      <c r="Y7">
        <f>IF($C7="",0,IF(AND($I7&lt;&gt;"",YEAR($I7)=$B$3),1,0))</f>
        <v>0</v>
      </c>
    </row>
    <row r="8" spans="1:25" x14ac:dyDescent="0.25">
      <c r="A8" s="5" t="s">
        <v>36</v>
      </c>
      <c r="B8" s="5" t="s">
        <v>37</v>
      </c>
      <c r="C8" s="6">
        <v>46122</v>
      </c>
      <c r="D8" s="7">
        <v>52800</v>
      </c>
      <c r="E8" s="7">
        <v>4800</v>
      </c>
      <c r="F8" s="5">
        <v>5</v>
      </c>
      <c r="G8" s="5">
        <v>5</v>
      </c>
      <c r="H8" s="10">
        <v>0</v>
      </c>
      <c r="I8" s="6"/>
      <c r="J8" s="7"/>
      <c r="K8">
        <f>IF($C8="","",MAX(0,MIN($F8*12,($B$3-1-YEAR($C8))*12+13-MONTH($C8))))</f>
        <v>0</v>
      </c>
      <c r="L8">
        <f>IF($C8="","",IF(YEAR($C8)&gt;$B$3,0,IF(AND($I8&lt;&gt;"",YEAR($I8)&lt;$B$3),0,MAX(0,MIN(IF(AND($I8&lt;&gt;"",YEAR($I8)=$B$3),MONTH($I8)-1,12)-IF(YEAR($C8)=$B$3,MONTH($C8),1)+1,$F8*12-K8)))))</f>
        <v>9</v>
      </c>
      <c r="M8" s="9">
        <f>IF($C8="","",($D8-$E8)/($F8*12))</f>
        <v>800</v>
      </c>
      <c r="N8" s="9">
        <f>IF($C8="","",K8*M8)</f>
        <v>0</v>
      </c>
      <c r="O8" s="9">
        <f>IF($C8="","",L8*M8)</f>
        <v>7200</v>
      </c>
      <c r="P8" s="9">
        <f>IF(Y8=1,N8+O8,0)</f>
        <v>0</v>
      </c>
      <c r="Q8" s="9">
        <f>IF($C8="","",IF(Y8=1,0,N8+O8))</f>
        <v>7200</v>
      </c>
      <c r="R8" s="9">
        <f>IF($C8="","",IF(OR(Y8=1,AND($I8&lt;&gt;"",YEAR($I8)&lt;$B$3)),0,$D8))</f>
        <v>52800</v>
      </c>
      <c r="S8" s="9">
        <f>IF($C8="","",R8-Q8)</f>
        <v>45600</v>
      </c>
      <c r="T8" s="9" t="str">
        <f>IF(Y8=1,$J8-($D8-P8),"")</f>
        <v/>
      </c>
      <c r="U8">
        <f>IF($C8="","",$B$3-YEAR($C8)+1)</f>
        <v>1</v>
      </c>
      <c r="V8" s="1" cm="1">
        <f t="array" ref="V8">IF($C8="","",IFERROR(INDEX(Tables!$B$3:$F$18,U8,MATCH($G8,Tables!$B$2:$F$2,0)),0))</f>
        <v>0.2</v>
      </c>
      <c r="W8" s="9">
        <f>IF($C8="","",IF(AND($I8&lt;&gt;"",YEAR($I8)&lt;$B$3),0,($D8*(1-$H8))*V8*IF(Y8=1,0.5,1)+IF(U8=1,$D8*$H8,0)))</f>
        <v>10560</v>
      </c>
      <c r="X8">
        <f>IF($C8="",0,IF(YEAR($C8)=$B$3,1,0))</f>
        <v>1</v>
      </c>
      <c r="Y8">
        <f>IF($C8="",0,IF(AND($I8&lt;&gt;"",YEAR($I8)=$B$3),1,0))</f>
        <v>0</v>
      </c>
    </row>
    <row r="9" spans="1:25" x14ac:dyDescent="0.25">
      <c r="A9" s="5" t="s">
        <v>38</v>
      </c>
      <c r="B9" s="5" t="s">
        <v>39</v>
      </c>
      <c r="C9" s="6">
        <v>44440</v>
      </c>
      <c r="D9" s="7">
        <v>145000</v>
      </c>
      <c r="E9" s="7">
        <v>5000</v>
      </c>
      <c r="F9" s="5">
        <v>10</v>
      </c>
      <c r="G9" s="5">
        <v>7</v>
      </c>
      <c r="H9" s="10">
        <v>0</v>
      </c>
      <c r="I9" s="6"/>
      <c r="J9" s="7"/>
      <c r="K9">
        <f>IF($C9="","",MAX(0,MIN($F9*12,($B$3-1-YEAR($C9))*12+13-MONTH($C9))))</f>
        <v>52</v>
      </c>
      <c r="L9">
        <f>IF($C9="","",IF(YEAR($C9)&gt;$B$3,0,IF(AND($I9&lt;&gt;"",YEAR($I9)&lt;$B$3),0,MAX(0,MIN(IF(AND($I9&lt;&gt;"",YEAR($I9)=$B$3),MONTH($I9)-1,12)-IF(YEAR($C9)=$B$3,MONTH($C9),1)+1,$F9*12-K9)))))</f>
        <v>12</v>
      </c>
      <c r="M9" s="9">
        <f>IF($C9="","",($D9-$E9)/($F9*12))</f>
        <v>1166.6666666666667</v>
      </c>
      <c r="N9" s="9">
        <f>IF($C9="","",K9*M9)</f>
        <v>60666.666666666672</v>
      </c>
      <c r="O9" s="9">
        <f>IF($C9="","",L9*M9)</f>
        <v>14000</v>
      </c>
      <c r="P9" s="9">
        <f>IF(Y9=1,N9+O9,0)</f>
        <v>0</v>
      </c>
      <c r="Q9" s="9">
        <f>IF($C9="","",IF(Y9=1,0,N9+O9))</f>
        <v>74666.666666666672</v>
      </c>
      <c r="R9" s="9">
        <f>IF($C9="","",IF(OR(Y9=1,AND($I9&lt;&gt;"",YEAR($I9)&lt;$B$3)),0,$D9))</f>
        <v>145000</v>
      </c>
      <c r="S9" s="9">
        <f>IF($C9="","",R9-Q9)</f>
        <v>70333.333333333328</v>
      </c>
      <c r="T9" s="9" t="str">
        <f>IF(Y9=1,$J9-($D9-P9),"")</f>
        <v/>
      </c>
      <c r="U9">
        <f>IF($C9="","",$B$3-YEAR($C9)+1)</f>
        <v>6</v>
      </c>
      <c r="V9" s="1" cm="1">
        <f t="array" ref="V9">IF($C9="","",IFERROR(INDEX(Tables!$B$3:$F$18,U9,MATCH($G9,Tables!$B$2:$F$2,0)),0))</f>
        <v>8.9200000000000002E-2</v>
      </c>
      <c r="W9" s="9">
        <f>IF($C9="","",IF(AND($I9&lt;&gt;"",YEAR($I9)&lt;$B$3),0,($D9*(1-$H9))*V9*IF(Y9=1,0.5,1)+IF(U9=1,$D9*$H9,0)))</f>
        <v>12934</v>
      </c>
      <c r="X9">
        <f>IF($C9="",0,IF(YEAR($C9)=$B$3,1,0))</f>
        <v>0</v>
      </c>
      <c r="Y9">
        <f>IF($C9="",0,IF(AND($I9&lt;&gt;"",YEAR($I9)=$B$3),1,0))</f>
        <v>0</v>
      </c>
    </row>
    <row r="10" spans="1:25" x14ac:dyDescent="0.25">
      <c r="A10" s="5" t="s">
        <v>40</v>
      </c>
      <c r="B10" s="5" t="s">
        <v>41</v>
      </c>
      <c r="C10" s="6">
        <v>44693</v>
      </c>
      <c r="D10" s="7">
        <v>18600</v>
      </c>
      <c r="E10" s="7">
        <v>0</v>
      </c>
      <c r="F10" s="5">
        <v>5</v>
      </c>
      <c r="G10" s="5">
        <v>5</v>
      </c>
      <c r="H10" s="10">
        <v>0</v>
      </c>
      <c r="I10" s="6">
        <v>46188</v>
      </c>
      <c r="J10" s="7">
        <v>4200</v>
      </c>
      <c r="K10">
        <f>IF($C10="","",MAX(0,MIN($F10*12,($B$3-1-YEAR($C10))*12+13-MONTH($C10))))</f>
        <v>44</v>
      </c>
      <c r="L10">
        <f>IF($C10="","",IF(YEAR($C10)&gt;$B$3,0,IF(AND($I10&lt;&gt;"",YEAR($I10)&lt;$B$3),0,MAX(0,MIN(IF(AND($I10&lt;&gt;"",YEAR($I10)=$B$3),MONTH($I10)-1,12)-IF(YEAR($C10)=$B$3,MONTH($C10),1)+1,$F10*12-K10)))))</f>
        <v>5</v>
      </c>
      <c r="M10" s="9">
        <f>IF($C10="","",($D10-$E10)/($F10*12))</f>
        <v>310</v>
      </c>
      <c r="N10" s="9">
        <f>IF($C10="","",K10*M10)</f>
        <v>13640</v>
      </c>
      <c r="O10" s="9">
        <f>IF($C10="","",L10*M10)</f>
        <v>1550</v>
      </c>
      <c r="P10" s="9">
        <f>IF(Y10=1,N10+O10,0)</f>
        <v>15190</v>
      </c>
      <c r="Q10" s="9">
        <f>IF($C10="","",IF(Y10=1,0,N10+O10))</f>
        <v>0</v>
      </c>
      <c r="R10" s="9">
        <f>IF($C10="","",IF(OR(Y10=1,AND($I10&lt;&gt;"",YEAR($I10)&lt;$B$3)),0,$D10))</f>
        <v>0</v>
      </c>
      <c r="S10" s="9">
        <f>IF($C10="","",R10-Q10)</f>
        <v>0</v>
      </c>
      <c r="T10" s="9">
        <f>IF(Y10=1,$J10-($D10-P10),"")</f>
        <v>790</v>
      </c>
      <c r="U10">
        <f>IF($C10="","",$B$3-YEAR($C10)+1)</f>
        <v>5</v>
      </c>
      <c r="V10" s="1" cm="1">
        <f t="array" ref="V10">IF($C10="","",IFERROR(INDEX(Tables!$B$3:$F$18,U10,MATCH($G10,Tables!$B$2:$F$2,0)),0))</f>
        <v>0.1152</v>
      </c>
      <c r="W10" s="9">
        <f>IF($C10="","",IF(AND($I10&lt;&gt;"",YEAR($I10)&lt;$B$3),0,($D10*(1-$H10))*V10*IF(Y10=1,0.5,1)+IF(U10=1,$D10*$H10,0)))</f>
        <v>1071.3599999999999</v>
      </c>
      <c r="X10">
        <f>IF($C10="",0,IF(YEAR($C10)=$B$3,1,0))</f>
        <v>0</v>
      </c>
      <c r="Y10">
        <f>IF($C10="",0,IF(AND($I10&lt;&gt;"",YEAR($I10)=$B$3),1,0))</f>
        <v>1</v>
      </c>
    </row>
    <row r="11" spans="1:25" x14ac:dyDescent="0.25">
      <c r="B11" s="2" t="s">
        <v>42</v>
      </c>
      <c r="D11" s="8">
        <f>SUM(D5:D10)</f>
        <v>318040</v>
      </c>
      <c r="E11" s="9"/>
      <c r="M11" s="9"/>
      <c r="N11" s="8">
        <f>SUM(N5:N10)</f>
        <v>94460.476190476198</v>
      </c>
      <c r="O11" s="8">
        <f>SUM(O5:O10)</f>
        <v>35864.28571428571</v>
      </c>
      <c r="P11" s="8">
        <f>SUM(P5:P10)</f>
        <v>15190</v>
      </c>
      <c r="Q11" s="8">
        <f>SUM(Q5:Q10)</f>
        <v>115134.76190476191</v>
      </c>
      <c r="R11" s="8">
        <f>SUM(R5:R10)</f>
        <v>299440</v>
      </c>
      <c r="S11" s="8">
        <f>SUM(S5:S10)</f>
        <v>184305.23809523811</v>
      </c>
      <c r="T11" s="9"/>
      <c r="W11" s="8">
        <f>SUM(W5:W10)</f>
        <v>40847.26</v>
      </c>
    </row>
    <row r="14" spans="1:25" x14ac:dyDescent="0.25">
      <c r="A14" s="2" t="s">
        <v>43</v>
      </c>
      <c r="B14" t="s">
        <v>8</v>
      </c>
      <c r="C14" t="s">
        <v>44</v>
      </c>
    </row>
    <row r="15" spans="1:25" x14ac:dyDescent="0.25">
      <c r="A15" t="s">
        <v>45</v>
      </c>
      <c r="B15" s="9" cm="1">
        <f t="array" ref="B15">SUMPRODUCT(($C$5:$C$10&lt;&gt;"")*(1-$X$5:$X$10)*$D$5:$D$10)</f>
        <v>256300</v>
      </c>
      <c r="C15" s="9">
        <f>$N$11</f>
        <v>94460.476190476198</v>
      </c>
    </row>
    <row r="16" spans="1:25" x14ac:dyDescent="0.25">
      <c r="A16" t="s">
        <v>46</v>
      </c>
      <c r="B16" s="9" cm="1">
        <f t="array" ref="B16">SUMPRODUCT($X$5:$X$10*$D$5:$D$10)</f>
        <v>61740</v>
      </c>
      <c r="C16" s="9">
        <f>$O$11</f>
        <v>35864.28571428571</v>
      </c>
    </row>
    <row r="17" spans="1:3" x14ac:dyDescent="0.25">
      <c r="A17" t="s">
        <v>47</v>
      </c>
      <c r="B17" s="9" cm="1">
        <f t="array" ref="B17">-SUMPRODUCT($Y$5:$Y$10*$D$5:$D$10)</f>
        <v>-18600</v>
      </c>
      <c r="C17" s="9">
        <f>-$P$11</f>
        <v>-15190</v>
      </c>
    </row>
    <row r="18" spans="1:3" x14ac:dyDescent="0.25">
      <c r="A18" t="s">
        <v>48</v>
      </c>
      <c r="B18" s="8">
        <f>SUM(B15:B17)</f>
        <v>299440</v>
      </c>
      <c r="C18" s="8">
        <f>SUM(C15:C17)</f>
        <v>115134.76190476191</v>
      </c>
    </row>
    <row r="19" spans="1:3" x14ac:dyDescent="0.25">
      <c r="A19" t="s">
        <v>49</v>
      </c>
      <c r="B19" s="9" t="str">
        <f>IF(ROUND(B18-$R$11,2)=0,"OK",B18-$R$11)</f>
        <v>OK</v>
      </c>
      <c r="C19" s="9" t="str">
        <f>IF(ROUND(C18-$Q$11,2)=0,"OK",C18-$Q$11)</f>
        <v>OK</v>
      </c>
    </row>
    <row r="20" spans="1:3" x14ac:dyDescent="0.25">
      <c r="A20" t="s">
        <v>50</v>
      </c>
      <c r="B20" s="8">
        <f>B18-C18</f>
        <v>184305.23809523811</v>
      </c>
      <c r="C20" s="9"/>
    </row>
    <row r="21" spans="1:3" x14ac:dyDescent="0.25">
      <c r="A21" t="s">
        <v>49</v>
      </c>
      <c r="B21" s="9" t="str">
        <f>IF(ROUND(B20-$S$11,2)=0,"OK",B20-$S$11)</f>
        <v>OK</v>
      </c>
      <c r="C21" s="9"/>
    </row>
    <row r="23" spans="1:3" x14ac:dyDescent="0.25">
      <c r="A23" s="2" t="s">
        <v>51</v>
      </c>
    </row>
    <row r="24" spans="1:3" x14ac:dyDescent="0.25">
      <c r="A24" t="s">
        <v>52</v>
      </c>
      <c r="B24" s="7"/>
      <c r="C24" t="str">
        <f>IF($B24="","enter GL balance",IF(ROUND($B24-B18,2)=0,"OK",$B24-B18))</f>
        <v>enter GL balance</v>
      </c>
    </row>
    <row r="25" spans="1:3" x14ac:dyDescent="0.25">
      <c r="A25" t="s">
        <v>53</v>
      </c>
      <c r="B25" s="7"/>
      <c r="C25" t="str">
        <f>IF($B25="","enter GL balance",IF(ROUND($B25-C18,2)=0,"OK",$B25-C18))</f>
        <v>enter GL balance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753D3-2D79-437A-881D-171276B0DF9E}">
  <dimension ref="A1:A10"/>
  <sheetViews>
    <sheetView tabSelected="1" workbookViewId="0"/>
  </sheetViews>
  <sheetFormatPr defaultRowHeight="13.5" x14ac:dyDescent="0.25"/>
  <cols>
    <col min="1" max="1" width="110.7109375" customWidth="1"/>
  </cols>
  <sheetData>
    <row r="1" spans="1:1" x14ac:dyDescent="0.25">
      <c r="A1" t="s">
        <v>54</v>
      </c>
    </row>
    <row r="3" spans="1:1" x14ac:dyDescent="0.25">
      <c r="A3" t="s">
        <v>55</v>
      </c>
    </row>
    <row r="4" spans="1:1" x14ac:dyDescent="0.25">
      <c r="A4" t="s">
        <v>56</v>
      </c>
    </row>
    <row r="5" spans="1:1" x14ac:dyDescent="0.25">
      <c r="A5" t="s">
        <v>57</v>
      </c>
    </row>
    <row r="6" spans="1:1" x14ac:dyDescent="0.25">
      <c r="A6" t="s">
        <v>58</v>
      </c>
    </row>
    <row r="7" spans="1:1" x14ac:dyDescent="0.25">
      <c r="A7" t="s">
        <v>59</v>
      </c>
    </row>
    <row r="8" spans="1:1" x14ac:dyDescent="0.25">
      <c r="A8" t="s">
        <v>60</v>
      </c>
    </row>
    <row r="9" spans="1:1" x14ac:dyDescent="0.25">
      <c r="A9" t="s">
        <v>61</v>
      </c>
    </row>
    <row r="10" spans="1:1" x14ac:dyDescent="0.25">
      <c r="A10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Tables</vt:lpstr>
      <vt:lpstr>Register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Jimmy Huynh</dc:creator>
  <cp:lastModifiedBy>Jimmy Huynh</cp:lastModifiedBy>
  <dcterms:created xsi:type="dcterms:W3CDTF">2026-08-23T21:44:05Z</dcterms:created>
  <dcterms:modified xsi:type="dcterms:W3CDTF">2026-08-23T21:44:06Z</dcterms:modified>
</cp:coreProperties>
</file>